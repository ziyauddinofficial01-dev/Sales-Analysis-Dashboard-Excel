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D ZIYAUDDIN\Desktop\Sales-Analysis-Dashboard-Excel\"/>
    </mc:Choice>
  </mc:AlternateContent>
  <xr:revisionPtr revIDLastSave="0" documentId="13_ncr:1_{98950776-C55C-43CA-A6D1-201EBDE78DFD}" xr6:coauthVersionLast="47" xr6:coauthVersionMax="47" xr10:uidLastSave="{00000000-0000-0000-0000-000000000000}"/>
  <bookViews>
    <workbookView xWindow="-110" yWindow="-110" windowWidth="21820" windowHeight="13900" firstSheet="6" activeTab="10" xr2:uid="{00000000-000D-0000-FFFF-FFFF00000000}"/>
  </bookViews>
  <sheets>
    <sheet name="Read Me" sheetId="2" r:id="rId1"/>
    <sheet name="Sales Analysis" sheetId="3" r:id="rId2"/>
    <sheet name="Raw Sales Data" sheetId="1" r:id="rId3"/>
    <sheet name="Category Analysis" sheetId="5" r:id="rId4"/>
    <sheet name="Product Analysis" sheetId="8" r:id="rId5"/>
    <sheet name="Region Analysis" sheetId="6" r:id="rId6"/>
    <sheet name="Monthly Analysis" sheetId="7" r:id="rId7"/>
    <sheet name="Category Chart Data" sheetId="9" r:id="rId8"/>
    <sheet name="Region Chart Data" sheetId="10" r:id="rId9"/>
    <sheet name="Product Chart Data" sheetId="14" r:id="rId10"/>
    <sheet name="Sales Dashboard" sheetId="11" r:id="rId11"/>
  </sheets>
  <definedNames>
    <definedName name="_xlnm._FilterDatabase" localSheetId="2" hidden="1">'Raw Sales Data'!$A$1:$J$401</definedName>
    <definedName name="Slicer_Category">#N/A</definedName>
    <definedName name="Slicer_Months__Order_Date">#N/A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Q1" i="11" l="1"/>
  <c r="B6" i="3"/>
  <c r="B4" i="3"/>
  <c r="B3" i="3"/>
  <c r="B2" i="3"/>
  <c r="B7" i="3" s="1"/>
  <c r="D4" i="11"/>
  <c r="A4" i="11"/>
  <c r="G4" i="11"/>
  <c r="M4" i="11" l="1"/>
  <c r="J4" i="11"/>
  <c r="B5" i="3"/>
</calcChain>
</file>

<file path=xl/sharedStrings.xml><?xml version="1.0" encoding="utf-8"?>
<sst xmlns="http://schemas.openxmlformats.org/spreadsheetml/2006/main" count="2538" uniqueCount="584">
  <si>
    <t>Order ID</t>
  </si>
  <si>
    <t>Order Date</t>
  </si>
  <si>
    <t>Customer ID</t>
  </si>
  <si>
    <t>Product</t>
  </si>
  <si>
    <t>Category</t>
  </si>
  <si>
    <t>Region</t>
  </si>
  <si>
    <t>City</t>
  </si>
  <si>
    <t>Quantity</t>
  </si>
  <si>
    <t>Unit Price (INR)</t>
  </si>
  <si>
    <t>Sales Amount (INR)</t>
  </si>
  <si>
    <t>ORD-00307</t>
  </si>
  <si>
    <t>CUST-0009</t>
  </si>
  <si>
    <t>Headphones</t>
  </si>
  <si>
    <t>Electronics</t>
  </si>
  <si>
    <t>East</t>
  </si>
  <si>
    <t>Bhubaneswar</t>
  </si>
  <si>
    <t>ORD-00352</t>
  </si>
  <si>
    <t>CUST-0012</t>
  </si>
  <si>
    <t>Power Bank</t>
  </si>
  <si>
    <t>Mobile Accessories</t>
  </si>
  <si>
    <t>North</t>
  </si>
  <si>
    <t>Jaipur</t>
  </si>
  <si>
    <t>ORD-00077</t>
  </si>
  <si>
    <t>CUST-0063</t>
  </si>
  <si>
    <t>Bluetooth Speaker</t>
  </si>
  <si>
    <t>Patna</t>
  </si>
  <si>
    <t>ORD-00144</t>
  </si>
  <si>
    <t>CUST-0078</t>
  </si>
  <si>
    <t>Keyboard</t>
  </si>
  <si>
    <t>Accessories</t>
  </si>
  <si>
    <t>West</t>
  </si>
  <si>
    <t>Pune</t>
  </si>
  <si>
    <t>ORD-00151</t>
  </si>
  <si>
    <t>CUST-0075</t>
  </si>
  <si>
    <t>USB Flash Drive 64GB</t>
  </si>
  <si>
    <t>Storage</t>
  </si>
  <si>
    <t>Ahmedabad</t>
  </si>
  <si>
    <t>ORD-00097</t>
  </si>
  <si>
    <t>USB-C Hub</t>
  </si>
  <si>
    <t>South</t>
  </si>
  <si>
    <t>Hyderabad</t>
  </si>
  <si>
    <t>ORD-00314</t>
  </si>
  <si>
    <t>CUST-0077</t>
  </si>
  <si>
    <t>External SSD 1TB</t>
  </si>
  <si>
    <t>Lucknow</t>
  </si>
  <si>
    <t>ORD-00337</t>
  </si>
  <si>
    <t>CUST-0023</t>
  </si>
  <si>
    <t>ORD-00021</t>
  </si>
  <si>
    <t>CUST-0031</t>
  </si>
  <si>
    <t>Laptop Stand</t>
  </si>
  <si>
    <t>Bengaluru</t>
  </si>
  <si>
    <t>ORD-00083</t>
  </si>
  <si>
    <t>CUST-0006</t>
  </si>
  <si>
    <t>ORD-00191</t>
  </si>
  <si>
    <t>Phone Charger</t>
  </si>
  <si>
    <t>ORD-00087</t>
  </si>
  <si>
    <t>CUST-0010</t>
  </si>
  <si>
    <t>ORD-00364</t>
  </si>
  <si>
    <t>Office Chair</t>
  </si>
  <si>
    <t>Furniture</t>
  </si>
  <si>
    <t>ORD-00123</t>
  </si>
  <si>
    <t>ORD-00137</t>
  </si>
  <si>
    <t>CUST-0048</t>
  </si>
  <si>
    <t>ORD-00084</t>
  </si>
  <si>
    <t>CUST-0017</t>
  </si>
  <si>
    <t>Chennai</t>
  </si>
  <si>
    <t>ORD-00111</t>
  </si>
  <si>
    <t>CUST-0030</t>
  </si>
  <si>
    <t>Kolkata</t>
  </si>
  <si>
    <t>ORD-00240</t>
  </si>
  <si>
    <t>Monitor 24-inch</t>
  </si>
  <si>
    <t>Surat</t>
  </si>
  <si>
    <t>ORD-00277</t>
  </si>
  <si>
    <t>CUST-0020</t>
  </si>
  <si>
    <t>ORD-00387</t>
  </si>
  <si>
    <t>CUST-0073</t>
  </si>
  <si>
    <t>Kochi</t>
  </si>
  <si>
    <t>ORD-00050</t>
  </si>
  <si>
    <t>ORD-00219</t>
  </si>
  <si>
    <t>CUST-0058</t>
  </si>
  <si>
    <t>ORD-00284</t>
  </si>
  <si>
    <t>CUST-0033</t>
  </si>
  <si>
    <t>ORD-00226</t>
  </si>
  <si>
    <t>Notebook</t>
  </si>
  <si>
    <t>Stationery</t>
  </si>
  <si>
    <t>Chandigarh</t>
  </si>
  <si>
    <t>ORD-00230</t>
  </si>
  <si>
    <t>CUST-0070</t>
  </si>
  <si>
    <t>ORD-00374</t>
  </si>
  <si>
    <t>CUST-0032</t>
  </si>
  <si>
    <t>ORD-00256</t>
  </si>
  <si>
    <t>CUST-0064</t>
  </si>
  <si>
    <t>ORD-00222</t>
  </si>
  <si>
    <t>CUST-0015</t>
  </si>
  <si>
    <t>ORD-00081</t>
  </si>
  <si>
    <t>CUST-0044</t>
  </si>
  <si>
    <t>ORD-00103</t>
  </si>
  <si>
    <t>CUST-0002</t>
  </si>
  <si>
    <t>ORD-00121</t>
  </si>
  <si>
    <t>CUST-0007</t>
  </si>
  <si>
    <t>Ranchi</t>
  </si>
  <si>
    <t>ORD-00198</t>
  </si>
  <si>
    <t>CUST-0005</t>
  </si>
  <si>
    <t>ORD-00199</t>
  </si>
  <si>
    <t>CUST-0060</t>
  </si>
  <si>
    <t>ORD-00306</t>
  </si>
  <si>
    <t>ORD-00075</t>
  </si>
  <si>
    <t>CUST-0008</t>
  </si>
  <si>
    <t>Pen Pack</t>
  </si>
  <si>
    <t>ORD-00027</t>
  </si>
  <si>
    <t>ORD-00239</t>
  </si>
  <si>
    <t>ORD-00139</t>
  </si>
  <si>
    <t>ORD-00354</t>
  </si>
  <si>
    <t>ORD-00147</t>
  </si>
  <si>
    <t>ORD-00160</t>
  </si>
  <si>
    <t>CUST-0043</t>
  </si>
  <si>
    <t>Delhi</t>
  </si>
  <si>
    <t>ORD-00181</t>
  </si>
  <si>
    <t>ORD-00174</t>
  </si>
  <si>
    <t>CUST-0076</t>
  </si>
  <si>
    <t>ORD-00207</t>
  </si>
  <si>
    <t>CUST-0024</t>
  </si>
  <si>
    <t>ORD-00006</t>
  </si>
  <si>
    <t>CUST-0059</t>
  </si>
  <si>
    <t>Mumbai</t>
  </si>
  <si>
    <t>ORD-00269</t>
  </si>
  <si>
    <t>CUST-0026</t>
  </si>
  <si>
    <t>ORD-00373</t>
  </si>
  <si>
    <t>CUST-0039</t>
  </si>
  <si>
    <t>ORD-00109</t>
  </si>
  <si>
    <t>ORD-00287</t>
  </si>
  <si>
    <t>CUST-0001</t>
  </si>
  <si>
    <t>ORD-00002</t>
  </si>
  <si>
    <t>CUST-0028</t>
  </si>
  <si>
    <t>ORD-00195</t>
  </si>
  <si>
    <t>ORD-00215</t>
  </si>
  <si>
    <t>CUST-0066</t>
  </si>
  <si>
    <t>ORD-00338</t>
  </si>
  <si>
    <t>CUST-0046</t>
  </si>
  <si>
    <t>ORD-00031</t>
  </si>
  <si>
    <t>CUST-0055</t>
  </si>
  <si>
    <t>ORD-00286</t>
  </si>
  <si>
    <t>ORD-00016</t>
  </si>
  <si>
    <t>CUST-0049</t>
  </si>
  <si>
    <t>ORD-00185</t>
  </si>
  <si>
    <t>ORD-00293</t>
  </si>
  <si>
    <t>ORD-00242</t>
  </si>
  <si>
    <t>CUST-0034</t>
  </si>
  <si>
    <t>Wireless Mouse</t>
  </si>
  <si>
    <t>ORD-00155</t>
  </si>
  <si>
    <t>ORD-00382</t>
  </si>
  <si>
    <t>Webcam</t>
  </si>
  <si>
    <t>ORD-00107</t>
  </si>
  <si>
    <t>ORD-00244</t>
  </si>
  <si>
    <t>ORD-00165</t>
  </si>
  <si>
    <t>CUST-0047</t>
  </si>
  <si>
    <t>ORD-00169</t>
  </si>
  <si>
    <t>ORD-00063</t>
  </si>
  <si>
    <t>CUST-0052</t>
  </si>
  <si>
    <t>ORD-00163</t>
  </si>
  <si>
    <t>ORD-00206</t>
  </si>
  <si>
    <t>CUST-0068</t>
  </si>
  <si>
    <t>ORD-00210</t>
  </si>
  <si>
    <t>ORD-00300</t>
  </si>
  <si>
    <t>CUST-0071</t>
  </si>
  <si>
    <t>Desk Lamp</t>
  </si>
  <si>
    <t>ORD-00229</t>
  </si>
  <si>
    <t>ORD-00359</t>
  </si>
  <si>
    <t>ORD-00383</t>
  </si>
  <si>
    <t>ORD-00247</t>
  </si>
  <si>
    <t>ORD-00346</t>
  </si>
  <si>
    <t>CUST-0056</t>
  </si>
  <si>
    <t>ORD-00392</t>
  </si>
  <si>
    <t>ORD-00113</t>
  </si>
  <si>
    <t>CUST-0016</t>
  </si>
  <si>
    <t>ORD-00396</t>
  </si>
  <si>
    <t>ORD-00133</t>
  </si>
  <si>
    <t>ORD-00067</t>
  </si>
  <si>
    <t>CUST-0054</t>
  </si>
  <si>
    <t>ORD-00069</t>
  </si>
  <si>
    <t>ORD-00216</t>
  </si>
  <si>
    <t>CUST-0004</t>
  </si>
  <si>
    <t>ORD-00205</t>
  </si>
  <si>
    <t>CUST-0051</t>
  </si>
  <si>
    <t>ORD-00197</t>
  </si>
  <si>
    <t>ORD-00209</t>
  </si>
  <si>
    <t>CUST-0080</t>
  </si>
  <si>
    <t>ORD-00313</t>
  </si>
  <si>
    <t>CUST-0079</t>
  </si>
  <si>
    <t>ORD-00141</t>
  </si>
  <si>
    <t>ORD-00183</t>
  </si>
  <si>
    <t>ORD-00053</t>
  </si>
  <si>
    <t>CUST-0053</t>
  </si>
  <si>
    <t>ORD-00079</t>
  </si>
  <si>
    <t>ORD-00086</t>
  </si>
  <si>
    <t>ORD-00357</t>
  </si>
  <si>
    <t>ORD-00356</t>
  </si>
  <si>
    <t>ORD-00110</t>
  </si>
  <si>
    <t>CUST-0038</t>
  </si>
  <si>
    <t>ORD-00091</t>
  </si>
  <si>
    <t>ORD-00102</t>
  </si>
  <si>
    <t>ORD-00311</t>
  </si>
  <si>
    <t>ORD-00179</t>
  </si>
  <si>
    <t>ORD-00180</t>
  </si>
  <si>
    <t>ORD-00032</t>
  </si>
  <si>
    <t>ORD-00353</t>
  </si>
  <si>
    <t>ORD-00379</t>
  </si>
  <si>
    <t>ORD-00377</t>
  </si>
  <si>
    <t>CUST-0027</t>
  </si>
  <si>
    <t>ORD-00122</t>
  </si>
  <si>
    <t>ORD-00076</t>
  </si>
  <si>
    <t>CUST-0062</t>
  </si>
  <si>
    <t>ORD-00391</t>
  </si>
  <si>
    <t>ORD-00187</t>
  </si>
  <si>
    <t>ORD-00028</t>
  </si>
  <si>
    <t>CUST-0061</t>
  </si>
  <si>
    <t>ORD-00043</t>
  </si>
  <si>
    <t>ORD-00208</t>
  </si>
  <si>
    <t>CUST-0018</t>
  </si>
  <si>
    <t>ORD-00162</t>
  </si>
  <si>
    <t>CUST-0019</t>
  </si>
  <si>
    <t>ORD-00078</t>
  </si>
  <si>
    <t>ORD-00186</t>
  </si>
  <si>
    <t>ORD-00055</t>
  </si>
  <si>
    <t>ORD-00056</t>
  </si>
  <si>
    <t>ORD-00177</t>
  </si>
  <si>
    <t>CUST-0036</t>
  </si>
  <si>
    <t>ORD-00124</t>
  </si>
  <si>
    <t>ORD-00012</t>
  </si>
  <si>
    <t>ORD-00116</t>
  </si>
  <si>
    <t>ORD-00347</t>
  </si>
  <si>
    <t>ORD-00003</t>
  </si>
  <si>
    <t>ORD-00009</t>
  </si>
  <si>
    <t>ORD-00212</t>
  </si>
  <si>
    <t>CUST-0074</t>
  </si>
  <si>
    <t>ORD-00093</t>
  </si>
  <si>
    <t>ORD-00161</t>
  </si>
  <si>
    <t>ORD-00040</t>
  </si>
  <si>
    <t>ORD-00358</t>
  </si>
  <si>
    <t>CUST-0014</t>
  </si>
  <si>
    <t>ORD-00105</t>
  </si>
  <si>
    <t>ORD-00058</t>
  </si>
  <si>
    <t>ORD-00243</t>
  </si>
  <si>
    <t>ORD-00019</t>
  </si>
  <si>
    <t>ORD-00014</t>
  </si>
  <si>
    <t>ORD-00112</t>
  </si>
  <si>
    <t>CUST-0035</t>
  </si>
  <si>
    <t>ORD-00018</t>
  </si>
  <si>
    <t>ORD-00234</t>
  </si>
  <si>
    <t>ORD-00339</t>
  </si>
  <si>
    <t>CUST-0029</t>
  </si>
  <si>
    <t>ORD-00073</t>
  </si>
  <si>
    <t>ORD-00048</t>
  </si>
  <si>
    <t>CUST-0057</t>
  </si>
  <si>
    <t>ORD-00101</t>
  </si>
  <si>
    <t>ORD-00005</t>
  </si>
  <si>
    <t>ORD-00057</t>
  </si>
  <si>
    <t>ORD-00281</t>
  </si>
  <si>
    <t>ORD-00378</t>
  </si>
  <si>
    <t>CUST-0042</t>
  </si>
  <si>
    <t>ORD-00044</t>
  </si>
  <si>
    <t>ORD-00066</t>
  </si>
  <si>
    <t>ORD-00176</t>
  </si>
  <si>
    <t>ORD-00268</t>
  </si>
  <si>
    <t>ORD-00384</t>
  </si>
  <si>
    <t>ORD-00262</t>
  </si>
  <si>
    <t>ORD-00291</t>
  </si>
  <si>
    <t>CUST-0037</t>
  </si>
  <si>
    <t>ORD-00355</t>
  </si>
  <si>
    <t>ORD-00235</t>
  </si>
  <si>
    <t>ORD-00149</t>
  </si>
  <si>
    <t>ORD-00350</t>
  </si>
  <si>
    <t>ORD-00128</t>
  </si>
  <si>
    <t>ORD-00258</t>
  </si>
  <si>
    <t>ORD-00045</t>
  </si>
  <si>
    <t>ORD-00321</t>
  </si>
  <si>
    <t>CUST-0072</t>
  </si>
  <si>
    <t>ORD-00340</t>
  </si>
  <si>
    <t>ORD-00345</t>
  </si>
  <si>
    <t>CUST-0050</t>
  </si>
  <si>
    <t>ORD-00051</t>
  </si>
  <si>
    <t>ORD-00264</t>
  </si>
  <si>
    <t>ORD-00193</t>
  </si>
  <si>
    <t>ORD-00182</t>
  </si>
  <si>
    <t>ORD-00372</t>
  </si>
  <si>
    <t>ORD-00329</t>
  </si>
  <si>
    <t>ORD-00042</t>
  </si>
  <si>
    <t>CUST-0069</t>
  </si>
  <si>
    <t>ORD-00100</t>
  </si>
  <si>
    <t>ORD-00120</t>
  </si>
  <si>
    <t>ORD-00344</t>
  </si>
  <si>
    <t>ORD-00282</t>
  </si>
  <si>
    <t>ORD-00074</t>
  </si>
  <si>
    <t>ORD-00272</t>
  </si>
  <si>
    <t>CUST-0065</t>
  </si>
  <si>
    <t>ORD-00289</t>
  </si>
  <si>
    <t>ORD-00327</t>
  </si>
  <si>
    <t>ORD-00296</t>
  </si>
  <si>
    <t>ORD-00400</t>
  </si>
  <si>
    <t>ORD-00094</t>
  </si>
  <si>
    <t>ORD-00204</t>
  </si>
  <si>
    <t>ORD-00297</t>
  </si>
  <si>
    <t>ORD-00274</t>
  </si>
  <si>
    <t>ORD-00325</t>
  </si>
  <si>
    <t>ORD-00294</t>
  </si>
  <si>
    <t>ORD-00134</t>
  </si>
  <si>
    <t>ORD-00227</t>
  </si>
  <si>
    <t>ORD-00260</t>
  </si>
  <si>
    <t>ORD-00145</t>
  </si>
  <si>
    <t>CUST-0013</t>
  </si>
  <si>
    <t>ORD-00228</t>
  </si>
  <si>
    <t>ORD-00237</t>
  </si>
  <si>
    <t>ORD-00010</t>
  </si>
  <si>
    <t>CUST-0021</t>
  </si>
  <si>
    <t>ORD-00164</t>
  </si>
  <si>
    <t>ORD-00328</t>
  </si>
  <si>
    <t>ORD-00008</t>
  </si>
  <si>
    <t>CUST-0011</t>
  </si>
  <si>
    <t>ORD-00098</t>
  </si>
  <si>
    <t>ORD-00156</t>
  </si>
  <si>
    <t>ORD-00203</t>
  </si>
  <si>
    <t>ORD-00020</t>
  </si>
  <si>
    <t>ORD-00173</t>
  </si>
  <si>
    <t>ORD-00218</t>
  </si>
  <si>
    <t>ORD-00370</t>
  </si>
  <si>
    <t>ORD-00310</t>
  </si>
  <si>
    <t>ORD-00341</t>
  </si>
  <si>
    <t>ORD-00082</t>
  </si>
  <si>
    <t>ORD-00143</t>
  </si>
  <si>
    <t>ORD-00152</t>
  </si>
  <si>
    <t>ORD-00130</t>
  </si>
  <si>
    <t>ORD-00233</t>
  </si>
  <si>
    <t>CUST-0067</t>
  </si>
  <si>
    <t>ORD-00035</t>
  </si>
  <si>
    <t>ORD-00380</t>
  </si>
  <si>
    <t>ORD-00363</t>
  </si>
  <si>
    <t>ORD-00189</t>
  </si>
  <si>
    <t>ORD-00015</t>
  </si>
  <si>
    <t>ORD-00172</t>
  </si>
  <si>
    <t>ORD-00267</t>
  </si>
  <si>
    <t>ORD-00397</t>
  </si>
  <si>
    <t>ORD-00299</t>
  </si>
  <si>
    <t>ORD-00376</t>
  </si>
  <si>
    <t>ORD-00029</t>
  </si>
  <si>
    <t>ORD-00096</t>
  </si>
  <si>
    <t>ORD-00309</t>
  </si>
  <si>
    <t>ORD-00320</t>
  </si>
  <si>
    <t>ORD-00365</t>
  </si>
  <si>
    <t>ORD-00119</t>
  </si>
  <si>
    <t>ORD-00211</t>
  </si>
  <si>
    <t>ORD-00278</t>
  </si>
  <si>
    <t>ORD-00127</t>
  </si>
  <si>
    <t>ORD-00217</t>
  </si>
  <si>
    <t>ORD-00386</t>
  </si>
  <si>
    <t>ORD-00290</t>
  </si>
  <si>
    <t>ORD-00366</t>
  </si>
  <si>
    <t>ORD-00190</t>
  </si>
  <si>
    <t>ORD-00224</t>
  </si>
  <si>
    <t>ORD-00061</t>
  </si>
  <si>
    <t>ORD-00138</t>
  </si>
  <si>
    <t>ORD-00369</t>
  </si>
  <si>
    <t>ORD-00059</t>
  </si>
  <si>
    <t>ORD-00136</t>
  </si>
  <si>
    <t>ORD-00342</t>
  </si>
  <si>
    <t>ORD-00192</t>
  </si>
  <si>
    <t>ORD-00213</t>
  </si>
  <si>
    <t>ORD-00360</t>
  </si>
  <si>
    <t>ORD-00065</t>
  </si>
  <si>
    <t>ORD-00108</t>
  </si>
  <si>
    <t>ORD-00304</t>
  </si>
  <si>
    <t>ORD-00158</t>
  </si>
  <si>
    <t>ORD-00305</t>
  </si>
  <si>
    <t>ORD-00323</t>
  </si>
  <si>
    <t>ORD-00390</t>
  </si>
  <si>
    <t>ORD-00025</t>
  </si>
  <si>
    <t>ORD-00292</t>
  </si>
  <si>
    <t>CUST-0025</t>
  </si>
  <si>
    <t>ORD-00142</t>
  </si>
  <si>
    <t>ORD-00280</t>
  </si>
  <si>
    <t>ORD-00332</t>
  </si>
  <si>
    <t>ORD-00011</t>
  </si>
  <si>
    <t>ORD-00140</t>
  </si>
  <si>
    <t>ORD-00071</t>
  </si>
  <si>
    <t>ORD-00312</t>
  </si>
  <si>
    <t>CUST-0045</t>
  </si>
  <si>
    <t>ORD-00261</t>
  </si>
  <si>
    <t>ORD-00030</t>
  </si>
  <si>
    <t>ORD-00114</t>
  </si>
  <si>
    <t>ORD-00118</t>
  </si>
  <si>
    <t>ORD-00301</t>
  </si>
  <si>
    <t>ORD-00085</t>
  </si>
  <si>
    <t>ORD-00231</t>
  </si>
  <si>
    <t>ORD-00271</t>
  </si>
  <si>
    <t>ORD-00275</t>
  </si>
  <si>
    <t>ORD-00072</t>
  </si>
  <si>
    <t>ORD-00201</t>
  </si>
  <si>
    <t>ORD-00249</t>
  </si>
  <si>
    <t>CUST-0041</t>
  </si>
  <si>
    <t>ORD-00276</t>
  </si>
  <si>
    <t>ORD-00285</t>
  </si>
  <si>
    <t>ORD-00326</t>
  </si>
  <si>
    <t>ORD-00034</t>
  </si>
  <si>
    <t>ORD-00259</t>
  </si>
  <si>
    <t>ORD-00371</t>
  </si>
  <si>
    <t>ORD-00385</t>
  </si>
  <si>
    <t>ORD-00090</t>
  </si>
  <si>
    <t>ORD-00333</t>
  </si>
  <si>
    <t>ORD-00168</t>
  </si>
  <si>
    <t>ORD-00388</t>
  </si>
  <si>
    <t>ORD-00188</t>
  </si>
  <si>
    <t>ORD-00223</t>
  </si>
  <si>
    <t>ORD-00132</t>
  </si>
  <si>
    <t>ORD-00202</t>
  </si>
  <si>
    <t>ORD-00303</t>
  </si>
  <si>
    <t>ORD-00062</t>
  </si>
  <si>
    <t>ORD-00367</t>
  </si>
  <si>
    <t>ORD-00125</t>
  </si>
  <si>
    <t>ORD-00273</t>
  </si>
  <si>
    <t>ORD-00194</t>
  </si>
  <si>
    <t>ORD-00166</t>
  </si>
  <si>
    <t>ORD-00238</t>
  </si>
  <si>
    <t>ORD-00295</t>
  </si>
  <si>
    <t>ORD-00375</t>
  </si>
  <si>
    <t>ORD-00117</t>
  </si>
  <si>
    <t>ORD-00252</t>
  </si>
  <si>
    <t>ORD-00253</t>
  </si>
  <si>
    <t>ORD-00279</t>
  </si>
  <si>
    <t>ORD-00225</t>
  </si>
  <si>
    <t>ORD-00038</t>
  </si>
  <si>
    <t>ORD-00170</t>
  </si>
  <si>
    <t>ORD-00322</t>
  </si>
  <si>
    <t>ORD-00089</t>
  </si>
  <si>
    <t>ORD-00399</t>
  </si>
  <si>
    <t>ORD-00007</t>
  </si>
  <si>
    <t>ORD-00266</t>
  </si>
  <si>
    <t>ORD-00393</t>
  </si>
  <si>
    <t>ORD-00024</t>
  </si>
  <si>
    <t>ORD-00148</t>
  </si>
  <si>
    <t>ORD-00316</t>
  </si>
  <si>
    <t>ORD-00037</t>
  </si>
  <si>
    <t>ORD-00135</t>
  </si>
  <si>
    <t>ORD-00308</t>
  </si>
  <si>
    <t>ORD-00389</t>
  </si>
  <si>
    <t>ORD-00064</t>
  </si>
  <si>
    <t>ORD-00221</t>
  </si>
  <si>
    <t>ORD-00288</t>
  </si>
  <si>
    <t>ORD-00049</t>
  </si>
  <si>
    <t>ORD-00126</t>
  </si>
  <si>
    <t>ORD-00129</t>
  </si>
  <si>
    <t>ORD-00248</t>
  </si>
  <si>
    <t>ORD-00026</t>
  </si>
  <si>
    <t>ORD-00046</t>
  </si>
  <si>
    <t>ORD-00330</t>
  </si>
  <si>
    <t>ORD-00349</t>
  </si>
  <si>
    <t>ORD-00319</t>
  </si>
  <si>
    <t>ORD-00153</t>
  </si>
  <si>
    <t>ORD-00175</t>
  </si>
  <si>
    <t>ORD-00080</t>
  </si>
  <si>
    <t>ORD-00013</t>
  </si>
  <si>
    <t>ORD-00022</t>
  </si>
  <si>
    <t>ORD-00331</t>
  </si>
  <si>
    <t>ORD-00104</t>
  </si>
  <si>
    <t>ORD-00178</t>
  </si>
  <si>
    <t>ORD-00241</t>
  </si>
  <si>
    <t>ORD-00317</t>
  </si>
  <si>
    <t>ORD-00060</t>
  </si>
  <si>
    <t>ORD-00106</t>
  </si>
  <si>
    <t>ORD-00263</t>
  </si>
  <si>
    <t>ORD-00200</t>
  </si>
  <si>
    <t>ORD-00398</t>
  </si>
  <si>
    <t>ORD-00265</t>
  </si>
  <si>
    <t>ORD-00004</t>
  </si>
  <si>
    <t>ORD-00381</t>
  </si>
  <si>
    <t>CUST-0040</t>
  </si>
  <si>
    <t>ORD-00088</t>
  </si>
  <si>
    <t>ORD-00092</t>
  </si>
  <si>
    <t>ORD-00039</t>
  </si>
  <si>
    <t>ORD-00017</t>
  </si>
  <si>
    <t>ORD-00095</t>
  </si>
  <si>
    <t>ORD-00115</t>
  </si>
  <si>
    <t>ORD-00236</t>
  </si>
  <si>
    <t>ORD-00270</t>
  </si>
  <si>
    <t>ORD-00361</t>
  </si>
  <si>
    <t>ORD-00214</t>
  </si>
  <si>
    <t>ORD-00184</t>
  </si>
  <si>
    <t>ORD-00157</t>
  </si>
  <si>
    <t>ORD-00220</t>
  </si>
  <si>
    <t>ORD-00336</t>
  </si>
  <si>
    <t>ORD-00254</t>
  </si>
  <si>
    <t>CUST-0022</t>
  </si>
  <si>
    <t>ORD-00146</t>
  </si>
  <si>
    <t>ORD-00196</t>
  </si>
  <si>
    <t>ORD-00257</t>
  </si>
  <si>
    <t>ORD-00068</t>
  </si>
  <si>
    <t>ORD-00348</t>
  </si>
  <si>
    <t>ORD-00001</t>
  </si>
  <si>
    <t>ORD-00251</t>
  </si>
  <si>
    <t>ORD-00250</t>
  </si>
  <si>
    <t>ORD-00167</t>
  </si>
  <si>
    <t>ORD-00159</t>
  </si>
  <si>
    <t>ORD-00154</t>
  </si>
  <si>
    <t>ORD-00033</t>
  </si>
  <si>
    <t>ORD-00171</t>
  </si>
  <si>
    <t>ORD-00232</t>
  </si>
  <si>
    <t>ORD-00368</t>
  </si>
  <si>
    <t>ORD-00023</t>
  </si>
  <si>
    <t>ORD-00255</t>
  </si>
  <si>
    <t>ORD-00036</t>
  </si>
  <si>
    <t>ORD-00318</t>
  </si>
  <si>
    <t>ORD-00052</t>
  </si>
  <si>
    <t>ORD-00041</t>
  </si>
  <si>
    <t>ORD-00054</t>
  </si>
  <si>
    <t>ORD-00334</t>
  </si>
  <si>
    <t>ORD-00315</t>
  </si>
  <si>
    <t>ORD-00324</t>
  </si>
  <si>
    <t>ORD-00150</t>
  </si>
  <si>
    <t>ORD-00283</t>
  </si>
  <si>
    <t>ORD-00394</t>
  </si>
  <si>
    <t>ORD-00245</t>
  </si>
  <si>
    <t>ORD-00047</t>
  </si>
  <si>
    <t>ORD-00298</t>
  </si>
  <si>
    <t>ORD-00343</t>
  </si>
  <si>
    <t>ORD-00362</t>
  </si>
  <si>
    <t>ORD-00070</t>
  </si>
  <si>
    <t>ORD-00099</t>
  </si>
  <si>
    <t>ORD-00395</t>
  </si>
  <si>
    <t>ORD-00302</t>
  </si>
  <si>
    <t>ORD-00131</t>
  </si>
  <si>
    <t>ORD-00335</t>
  </si>
  <si>
    <t>ORD-00246</t>
  </si>
  <si>
    <t>ORD-00351</t>
  </si>
  <si>
    <t>Dataset type</t>
  </si>
  <si>
    <t>Fictional sample data created for learning and analysis. It does not represent a real company.</t>
  </si>
  <si>
    <t>Records</t>
  </si>
  <si>
    <t>400 fictional order records covering 01-Jan-2025 to 31-Dec-2025.</t>
  </si>
  <si>
    <t>Currency</t>
  </si>
  <si>
    <t>INR (Indian Rupees) for practice purposes.</t>
  </si>
  <si>
    <t>Column</t>
  </si>
  <si>
    <t>Meaning</t>
  </si>
  <si>
    <t>Unique identifier assigned to each sample order record.</t>
  </si>
  <si>
    <t>Date when the sample order was recorded.</t>
  </si>
  <si>
    <t>Fictional customer identifier; not a real person's identity.</t>
  </si>
  <si>
    <t>Product name in the fictional retail catalog.</t>
  </si>
  <si>
    <t>Product category used for grouping and comparison.</t>
  </si>
  <si>
    <t>Broad sales region assigned to the city.</t>
  </si>
  <si>
    <t>Fictional dataset's city field for city-wise analysis.</t>
  </si>
  <si>
    <t>Number of units in the order record.</t>
  </si>
  <si>
    <t>Sample price per unit in INR.</t>
  </si>
  <si>
    <t>Quantity multiplied by Unit Price.</t>
  </si>
  <si>
    <t>Metric</t>
  </si>
  <si>
    <t>Result</t>
  </si>
  <si>
    <t>Total Sales</t>
  </si>
  <si>
    <t>Total Quantity</t>
  </si>
  <si>
    <t>Total Orders</t>
  </si>
  <si>
    <t>Average Order Value</t>
  </si>
  <si>
    <t>Average Unit Price</t>
  </si>
  <si>
    <t>Grand Total</t>
  </si>
  <si>
    <t>Sum of Sales Amount (INR)</t>
  </si>
  <si>
    <t>Sum of Quantity</t>
  </si>
  <si>
    <t>Jan</t>
  </si>
  <si>
    <t>Feb</t>
  </si>
  <si>
    <t>Mar</t>
  </si>
  <si>
    <t>Apr</t>
  </si>
  <si>
    <t>May</t>
  </si>
  <si>
    <t>Jun</t>
  </si>
  <si>
    <t>Jul</t>
  </si>
  <si>
    <t>Aug</t>
  </si>
  <si>
    <t>Sep</t>
  </si>
  <si>
    <t>Oct</t>
  </si>
  <si>
    <t>Nov</t>
  </si>
  <si>
    <t>Dec</t>
  </si>
  <si>
    <t>SALES PERFORMANCE DASHBOARD — 2025</t>
  </si>
  <si>
    <t>Month</t>
  </si>
  <si>
    <t>Average Monthly Sales</t>
  </si>
  <si>
    <t>Count of Order ID</t>
  </si>
  <si>
    <t>Project Objective</t>
  </si>
  <si>
    <t>To analyze fictional sales data using Microsoft Excel, identify sales trends and performance across products, categories, regions, and months, and present the findings through an interactive dashboard to support data-driven decision-making.</t>
  </si>
  <si>
    <t>Tools &amp; Techniques</t>
  </si>
  <si>
    <t>Microsoft Excel, Excel Tables, PivotTables, PivotCharts, Slicers, Excel formulas, data summarization, and sales trend analysis.</t>
  </si>
  <si>
    <t>Dashboard Features</t>
  </si>
  <si>
    <t>Interactive KPI cards for Total Sales, Total Quantity, Total Orders, Average Order Value, and Average Monthly Sales; charts for monthly sales trends, category-wise sales, region-wise sales, and top 5 products; slicers for Region, Category, and Month.</t>
  </si>
  <si>
    <t>Key Business Insights</t>
  </si>
  <si>
    <t>Electronics was the highest-selling category with sales of ₹15,98,865. The Monitor 24-inch was the top-selling product by sales, generating ₹9,11,925. September recorded the highest monthly sales at ₹4,09,996.50, while November recorded the lowest at ₹1,95,823. The North region had the highest total sales among the four regions at ₹9,42,511.</t>
  </si>
  <si>
    <t>Sales Analysis Dashboard using Microsoft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</si>
</sst>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dd\-mmm\-yyyy"/>
    <numFmt numFmtId="165" formatCode="&quot;₹&quot;#,##0.00"/>
    <numFmt numFmtId="166" formatCode="&quot;₹&quot;\ #,##0.00"/>
    <numFmt numFmtId="167" formatCode="&quot;₹&quot;\ #,##0"/>
    <numFmt numFmtId="168" formatCode="[$₹-4009]\ #,##0"/>
    <numFmt numFmtId="169" formatCode="[$₹-4009]\ #,##0.00"/>
    <numFmt numFmtId="170" formatCode="&quot;₹&quot;#,##0"/>
    <numFmt numFmtId="171" formatCode="_ * #,##0_ ;_ * \-#,##0_ ;_ * &quot;-&quot;??_ ;_ @_ "/>
  </numFmts>
  <fonts count="10" x14ac:knownFonts="1">
    <font>
      <sz val="11"/>
      <color theme="1"/>
      <name val="Calibri"/>
      <family val="2"/>
      <scheme val="minor"/>
    </font>
    <font>
      <b/>
      <sz val="11"/>
      <color rgb="FFFFFFFF"/>
      <name val="Calibri"/>
    </font>
    <font>
      <b/>
      <sz val="11"/>
      <name val="Calibri"/>
    </font>
    <font>
      <b/>
      <sz val="11"/>
      <color theme="1"/>
      <name val="Calibri"/>
      <family val="2"/>
      <scheme val="minor"/>
    </font>
    <font>
      <b/>
      <sz val="16"/>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b/>
      <sz val="16"/>
      <color rgb="FFFFFFFF"/>
      <name val="Calibri"/>
      <family val="2"/>
    </font>
    <font>
      <b/>
      <sz val="16"/>
      <color theme="0"/>
      <name val="Calibri"/>
      <family val="2"/>
      <scheme val="minor"/>
    </font>
  </fonts>
  <fills count="5">
    <fill>
      <patternFill patternType="none"/>
    </fill>
    <fill>
      <patternFill patternType="gray125"/>
    </fill>
    <fill>
      <patternFill patternType="solid">
        <fgColor rgb="FF1F4E78"/>
      </patternFill>
    </fill>
    <fill>
      <patternFill patternType="solid">
        <fgColor theme="3" tint="0.79998168889431442"/>
        <bgColor indexed="64"/>
      </patternFill>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6" fillId="0" borderId="0" applyFont="0" applyFill="0" applyBorder="0" applyAlignment="0" applyProtection="0"/>
  </cellStyleXfs>
  <cellXfs count="30">
    <xf numFmtId="0" fontId="0" fillId="0" borderId="0" xfId="0"/>
    <xf numFmtId="0" fontId="1" fillId="2" borderId="0" xfId="0" applyFont="1" applyFill="1" applyAlignment="1">
      <alignment horizontal="center" vertical="center"/>
    </xf>
    <xf numFmtId="164" fontId="0" fillId="0" borderId="0" xfId="0" applyNumberFormat="1"/>
    <xf numFmtId="0" fontId="2" fillId="0" borderId="0" xfId="0" applyFont="1"/>
    <xf numFmtId="0" fontId="0" fillId="0" borderId="0" xfId="0" applyAlignment="1">
      <alignment vertical="top" wrapText="1"/>
    </xf>
    <xf numFmtId="0" fontId="1" fillId="2" borderId="0" xfId="0" applyFont="1" applyFill="1" applyAlignment="1">
      <alignment vertical="top" wrapText="1"/>
    </xf>
    <xf numFmtId="0" fontId="0" fillId="0" borderId="0" xfId="0" pivotButton="1"/>
    <xf numFmtId="0" fontId="0" fillId="0" borderId="0" xfId="0" applyAlignment="1">
      <alignment horizontal="left"/>
    </xf>
    <xf numFmtId="167" fontId="5" fillId="0" borderId="1" xfId="0" applyNumberFormat="1" applyFont="1" applyBorder="1" applyAlignment="1">
      <alignment horizontal="center"/>
    </xf>
    <xf numFmtId="1" fontId="5" fillId="0" borderId="1" xfId="0" applyNumberFormat="1" applyFont="1" applyBorder="1" applyAlignment="1">
      <alignment horizontal="center"/>
    </xf>
    <xf numFmtId="166" fontId="5" fillId="0" borderId="1" xfId="0" applyNumberFormat="1" applyFont="1" applyBorder="1" applyAlignment="1">
      <alignment horizontal="center"/>
    </xf>
    <xf numFmtId="168" fontId="0" fillId="0" borderId="0" xfId="0" applyNumberFormat="1"/>
    <xf numFmtId="1" fontId="0" fillId="0" borderId="0" xfId="0" applyNumberFormat="1"/>
    <xf numFmtId="0" fontId="7" fillId="4" borderId="1" xfId="0" applyFont="1" applyFill="1" applyBorder="1" applyAlignment="1">
      <alignment horizontal="left"/>
    </xf>
    <xf numFmtId="0" fontId="0" fillId="0" borderId="1" xfId="0" applyBorder="1" applyAlignment="1">
      <alignment horizontal="left"/>
    </xf>
    <xf numFmtId="0" fontId="7" fillId="4" borderId="1" xfId="0" applyFont="1" applyFill="1" applyBorder="1" applyAlignment="1">
      <alignment horizontal="right"/>
    </xf>
    <xf numFmtId="1" fontId="0" fillId="0" borderId="1" xfId="0" applyNumberFormat="1" applyBorder="1" applyAlignment="1">
      <alignment horizontal="right"/>
    </xf>
    <xf numFmtId="169" fontId="0" fillId="0" borderId="1" xfId="0" applyNumberFormat="1" applyBorder="1" applyAlignment="1">
      <alignment horizontal="right"/>
    </xf>
    <xf numFmtId="0" fontId="3" fillId="3" borderId="1" xfId="0" applyFont="1" applyFill="1" applyBorder="1" applyAlignment="1">
      <alignment horizontal="left"/>
    </xf>
    <xf numFmtId="168" fontId="3" fillId="3" borderId="1" xfId="0" applyNumberFormat="1" applyFont="1" applyFill="1" applyBorder="1" applyAlignment="1">
      <alignment horizontal="right"/>
    </xf>
    <xf numFmtId="170" fontId="0" fillId="0" borderId="0" xfId="0" applyNumberFormat="1"/>
    <xf numFmtId="171" fontId="0" fillId="0" borderId="0" xfId="0" applyNumberFormat="1"/>
    <xf numFmtId="171" fontId="0" fillId="0" borderId="1" xfId="1" applyNumberFormat="1" applyFont="1" applyBorder="1" applyAlignment="1">
      <alignment horizontal="right"/>
    </xf>
    <xf numFmtId="0" fontId="3" fillId="3" borderId="1" xfId="0" applyFont="1" applyFill="1" applyBorder="1" applyAlignment="1">
      <alignment horizontal="center"/>
    </xf>
    <xf numFmtId="0" fontId="4" fillId="0" borderId="0" xfId="0" applyFont="1" applyAlignment="1">
      <alignment horizontal="center"/>
    </xf>
    <xf numFmtId="0" fontId="0" fillId="0" borderId="0" xfId="0" applyAlignment="1">
      <alignment wrapText="1"/>
    </xf>
    <xf numFmtId="0" fontId="1" fillId="2" borderId="0" xfId="0" applyFont="1" applyFill="1" applyAlignment="1">
      <alignment vertical="center" wrapText="1"/>
    </xf>
    <xf numFmtId="0" fontId="8" fillId="2" borderId="0" xfId="0" applyFont="1" applyFill="1"/>
    <xf numFmtId="0" fontId="0" fillId="0" borderId="0" xfId="0"/>
    <xf numFmtId="0" fontId="9" fillId="4" borderId="0" xfId="0" applyFont="1" applyFill="1" applyAlignment="1">
      <alignment horizontal="center"/>
    </xf>
  </cellXfs>
  <cellStyles count="2">
    <cellStyle name="Comma" xfId="1" builtinId="3"/>
    <cellStyle name="Normal" xfId="0" builtinId="0"/>
  </cellStyles>
  <dxfs count="12">
    <dxf>
      <numFmt numFmtId="168" formatCode="[$₹-4009]\ #,##0"/>
    </dxf>
    <dxf>
      <numFmt numFmtId="168" formatCode="[$₹-4009]\ #,##0"/>
    </dxf>
    <dxf>
      <numFmt numFmtId="168" formatCode="[$₹-4009]\ #,##0"/>
    </dxf>
    <dxf>
      <numFmt numFmtId="168" formatCode="[$₹-4009]\ #,##0"/>
    </dxf>
    <dxf>
      <numFmt numFmtId="171" formatCode="_ * #,##0_ ;_ * \-#,##0_ ;_ * &quot;-&quot;??_ ;_ @_ "/>
    </dxf>
    <dxf>
      <numFmt numFmtId="1" formatCode="0"/>
    </dxf>
    <dxf>
      <numFmt numFmtId="168" formatCode="[$₹-4009]\ #,##0"/>
    </dxf>
    <dxf>
      <numFmt numFmtId="168" formatCode="[$₹-4009]\ #,##0"/>
    </dxf>
    <dxf>
      <numFmt numFmtId="171" formatCode="_ * #,##0_ ;_ * \-#,##0_ ;_ * &quot;-&quot;??_ ;_ @_ "/>
    </dxf>
    <dxf>
      <font>
        <b val="0"/>
      </font>
    </dxf>
    <dxf>
      <numFmt numFmtId="1" formatCode="0"/>
    </dxf>
    <dxf>
      <numFmt numFmtId="168" formatCode="[$₹-4009]\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[Sales_Analysis_Dashboard_Excel.xlsx]Monthly Analysis!PivotTable4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[$₹-4009]\ #,##0</c:formatCode>
                <c:ptCount val="12"/>
                <c:pt idx="0">
                  <c:v>350545</c:v>
                </c:pt>
                <c:pt idx="1">
                  <c:v>216701</c:v>
                </c:pt>
                <c:pt idx="2">
                  <c:v>275695</c:v>
                </c:pt>
                <c:pt idx="3">
                  <c:v>266268.5</c:v>
                </c:pt>
                <c:pt idx="4">
                  <c:v>252897</c:v>
                </c:pt>
                <c:pt idx="5">
                  <c:v>297457</c:v>
                </c:pt>
                <c:pt idx="6">
                  <c:v>264049</c:v>
                </c:pt>
                <c:pt idx="7">
                  <c:v>357648</c:v>
                </c:pt>
                <c:pt idx="8">
                  <c:v>409996.5</c:v>
                </c:pt>
                <c:pt idx="9">
                  <c:v>342385</c:v>
                </c:pt>
                <c:pt idx="10">
                  <c:v>195823</c:v>
                </c:pt>
                <c:pt idx="11">
                  <c:v>210423</c:v>
                </c:pt>
              </c:numCache>
            </c:numRef>
          </c:val>
          <c:smooth val="0"/>
          <c:extLst>
            <c:ext xmlns:c16="http://schemas.microsoft.com/office/drawing/2014/chart" uri="{C3380CC4-5D6E-409C-BE32-E72D297353CC}">
              <c16:uniqueId val="{00000000-6EA6-4CA6-8D00-513848D08F80}"/>
            </c:ext>
          </c:extLst>
        </c:ser>
        <c:dLbls>
          <c:showLegendKey val="0"/>
          <c:showVal val="0"/>
          <c:showCatName val="0"/>
          <c:showSerName val="0"/>
          <c:showPercent val="0"/>
          <c:showBubbleSize val="0"/>
        </c:dLbls>
        <c:marker val="1"/>
        <c:smooth val="0"/>
        <c:axId val="748853280"/>
        <c:axId val="748853760"/>
      </c:lineChart>
      <c:catAx>
        <c:axId val="748853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53760"/>
        <c:crosses val="autoZero"/>
        <c:auto val="1"/>
        <c:lblAlgn val="ctr"/>
        <c:lblOffset val="100"/>
        <c:noMultiLvlLbl val="0"/>
      </c:catAx>
      <c:valAx>
        <c:axId val="748853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Sales Amount (INR)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[Sales_Analysis_Dashboard_Excel.xlsx]Category Chart Data!PivotTable1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Category-wise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Chart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Chart Data'!$A$4:$A$10</c:f>
              <c:strCache>
                <c:ptCount val="6"/>
                <c:pt idx="0">
                  <c:v>Electronics</c:v>
                </c:pt>
                <c:pt idx="1">
                  <c:v>Furniture</c:v>
                </c:pt>
                <c:pt idx="2">
                  <c:v>Storage</c:v>
                </c:pt>
                <c:pt idx="3">
                  <c:v>Accessories</c:v>
                </c:pt>
                <c:pt idx="4">
                  <c:v>Mobile Accessories</c:v>
                </c:pt>
                <c:pt idx="5">
                  <c:v>Stationery</c:v>
                </c:pt>
              </c:strCache>
            </c:strRef>
          </c:cat>
          <c:val>
            <c:numRef>
              <c:f>'Category Chart Data'!$B$4:$B$10</c:f>
              <c:numCache>
                <c:formatCode>[$₹-4009]\ #,##0</c:formatCode>
                <c:ptCount val="6"/>
                <c:pt idx="0">
                  <c:v>1598865</c:v>
                </c:pt>
                <c:pt idx="1">
                  <c:v>589240</c:v>
                </c:pt>
                <c:pt idx="2">
                  <c:v>541535</c:v>
                </c:pt>
                <c:pt idx="3">
                  <c:v>418045</c:v>
                </c:pt>
                <c:pt idx="4">
                  <c:v>277155</c:v>
                </c:pt>
                <c:pt idx="5">
                  <c:v>15048</c:v>
                </c:pt>
              </c:numCache>
            </c:numRef>
          </c:val>
          <c:extLst>
            <c:ext xmlns:c16="http://schemas.microsoft.com/office/drawing/2014/chart" uri="{C3380CC4-5D6E-409C-BE32-E72D297353CC}">
              <c16:uniqueId val="{00000000-F9A3-4884-9C3A-075465BD1B0A}"/>
            </c:ext>
          </c:extLst>
        </c:ser>
        <c:dLbls>
          <c:dLblPos val="outEnd"/>
          <c:showLegendKey val="0"/>
          <c:showVal val="1"/>
          <c:showCatName val="0"/>
          <c:showSerName val="0"/>
          <c:showPercent val="0"/>
          <c:showBubbleSize val="0"/>
        </c:dLbls>
        <c:gapWidth val="182"/>
        <c:axId val="1875750480"/>
        <c:axId val="1535810400"/>
      </c:barChart>
      <c:catAx>
        <c:axId val="187575048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810400"/>
        <c:crosses val="autoZero"/>
        <c:auto val="1"/>
        <c:lblAlgn val="ctr"/>
        <c:lblOffset val="100"/>
        <c:noMultiLvlLbl val="0"/>
      </c:catAx>
      <c:valAx>
        <c:axId val="1535810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Amount (INR)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5048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[Sales_Analysis_Dashboard_Excel.xlsx]Region Chart Data!PivotTable2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Region-wise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Chart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Chart Data'!$A$4:$A$8</c:f>
              <c:strCache>
                <c:ptCount val="4"/>
                <c:pt idx="0">
                  <c:v>North</c:v>
                </c:pt>
                <c:pt idx="1">
                  <c:v>East</c:v>
                </c:pt>
                <c:pt idx="2">
                  <c:v>West</c:v>
                </c:pt>
                <c:pt idx="3">
                  <c:v>South</c:v>
                </c:pt>
              </c:strCache>
            </c:strRef>
          </c:cat>
          <c:val>
            <c:numRef>
              <c:f>'Region Chart Data'!$B$4:$B$8</c:f>
              <c:numCache>
                <c:formatCode>[$₹-4009]\ #,##0</c:formatCode>
                <c:ptCount val="4"/>
                <c:pt idx="0">
                  <c:v>942511</c:v>
                </c:pt>
                <c:pt idx="1">
                  <c:v>917719.5</c:v>
                </c:pt>
                <c:pt idx="2">
                  <c:v>905440</c:v>
                </c:pt>
                <c:pt idx="3">
                  <c:v>674217.5</c:v>
                </c:pt>
              </c:numCache>
            </c:numRef>
          </c:val>
          <c:extLst>
            <c:ext xmlns:c16="http://schemas.microsoft.com/office/drawing/2014/chart" uri="{C3380CC4-5D6E-409C-BE32-E72D297353CC}">
              <c16:uniqueId val="{00000000-59DB-4324-B4AC-278A03CCC596}"/>
            </c:ext>
          </c:extLst>
        </c:ser>
        <c:dLbls>
          <c:dLblPos val="outEnd"/>
          <c:showLegendKey val="0"/>
          <c:showVal val="1"/>
          <c:showCatName val="0"/>
          <c:showSerName val="0"/>
          <c:showPercent val="0"/>
          <c:showBubbleSize val="0"/>
        </c:dLbls>
        <c:gapWidth val="182"/>
        <c:axId val="1535809920"/>
        <c:axId val="1875750960"/>
      </c:barChart>
      <c:catAx>
        <c:axId val="153580992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50960"/>
        <c:crosses val="autoZero"/>
        <c:auto val="1"/>
        <c:lblAlgn val="ctr"/>
        <c:lblOffset val="100"/>
        <c:noMultiLvlLbl val="0"/>
      </c:catAx>
      <c:valAx>
        <c:axId val="1875750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Amount (INR)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80992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[Sales_Analysis_Dashboard_Excel.xlsx]Product Chart Data!PivotTable2</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Chart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Chart Data'!$A$4:$A$8</c:f>
              <c:strCache>
                <c:ptCount val="5"/>
                <c:pt idx="0">
                  <c:v>Monitor 24-inch</c:v>
                </c:pt>
                <c:pt idx="1">
                  <c:v>Office Chair</c:v>
                </c:pt>
                <c:pt idx="2">
                  <c:v>External SSD 1TB</c:v>
                </c:pt>
                <c:pt idx="3">
                  <c:v>Headphones</c:v>
                </c:pt>
                <c:pt idx="4">
                  <c:v>Webcam</c:v>
                </c:pt>
              </c:strCache>
            </c:strRef>
          </c:cat>
          <c:val>
            <c:numRef>
              <c:f>'Product Chart Data'!$B$4:$B$8</c:f>
              <c:numCache>
                <c:formatCode>[$₹-4009]\ #,##0</c:formatCode>
                <c:ptCount val="5"/>
                <c:pt idx="0">
                  <c:v>911925</c:v>
                </c:pt>
                <c:pt idx="1">
                  <c:v>522360</c:v>
                </c:pt>
                <c:pt idx="2">
                  <c:v>477100</c:v>
                </c:pt>
                <c:pt idx="3">
                  <c:v>274540</c:v>
                </c:pt>
                <c:pt idx="4">
                  <c:v>260480</c:v>
                </c:pt>
              </c:numCache>
            </c:numRef>
          </c:val>
          <c:extLst>
            <c:ext xmlns:c16="http://schemas.microsoft.com/office/drawing/2014/chart" uri="{C3380CC4-5D6E-409C-BE32-E72D297353CC}">
              <c16:uniqueId val="{00000000-BBCE-47E6-9F51-2D4F31FF7D59}"/>
            </c:ext>
          </c:extLst>
        </c:ser>
        <c:dLbls>
          <c:dLblPos val="outEnd"/>
          <c:showLegendKey val="0"/>
          <c:showVal val="1"/>
          <c:showCatName val="0"/>
          <c:showSerName val="0"/>
          <c:showPercent val="0"/>
          <c:showBubbleSize val="0"/>
        </c:dLbls>
        <c:gapWidth val="182"/>
        <c:axId val="841476751"/>
        <c:axId val="841489231"/>
      </c:barChart>
      <c:catAx>
        <c:axId val="84147675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89231"/>
        <c:crosses val="autoZero"/>
        <c:auto val="1"/>
        <c:lblAlgn val="ctr"/>
        <c:lblOffset val="100"/>
        <c:noMultiLvlLbl val="0"/>
      </c:catAx>
      <c:valAx>
        <c:axId val="8414892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Amount (INR)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7675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[Sales_Analysis_Dashboard_Excel.xlsx]Monthly 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[$₹-4009]\ #,##0</c:formatCode>
                <c:ptCount val="12"/>
                <c:pt idx="0">
                  <c:v>350545</c:v>
                </c:pt>
                <c:pt idx="1">
                  <c:v>216701</c:v>
                </c:pt>
                <c:pt idx="2">
                  <c:v>275695</c:v>
                </c:pt>
                <c:pt idx="3">
                  <c:v>266268.5</c:v>
                </c:pt>
                <c:pt idx="4">
                  <c:v>252897</c:v>
                </c:pt>
                <c:pt idx="5">
                  <c:v>297457</c:v>
                </c:pt>
                <c:pt idx="6">
                  <c:v>264049</c:v>
                </c:pt>
                <c:pt idx="7">
                  <c:v>357648</c:v>
                </c:pt>
                <c:pt idx="8">
                  <c:v>409996.5</c:v>
                </c:pt>
                <c:pt idx="9">
                  <c:v>342385</c:v>
                </c:pt>
                <c:pt idx="10">
                  <c:v>195823</c:v>
                </c:pt>
                <c:pt idx="11">
                  <c:v>210423</c:v>
                </c:pt>
              </c:numCache>
            </c:numRef>
          </c:val>
          <c:smooth val="0"/>
          <c:extLst>
            <c:ext xmlns:c16="http://schemas.microsoft.com/office/drawing/2014/chart" uri="{C3380CC4-5D6E-409C-BE32-E72D297353CC}">
              <c16:uniqueId val="{00000000-9E14-4472-9771-6E8FF6F3F58F}"/>
            </c:ext>
          </c:extLst>
        </c:ser>
        <c:dLbls>
          <c:showLegendKey val="0"/>
          <c:showVal val="0"/>
          <c:showCatName val="0"/>
          <c:showSerName val="0"/>
          <c:showPercent val="0"/>
          <c:showBubbleSize val="0"/>
        </c:dLbls>
        <c:marker val="1"/>
        <c:smooth val="0"/>
        <c:axId val="748853280"/>
        <c:axId val="748853760"/>
      </c:lineChart>
      <c:catAx>
        <c:axId val="748853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53760"/>
        <c:crosses val="autoZero"/>
        <c:auto val="1"/>
        <c:lblAlgn val="ctr"/>
        <c:lblOffset val="100"/>
        <c:noMultiLvlLbl val="0"/>
      </c:catAx>
      <c:valAx>
        <c:axId val="748853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Sales Amount (INR)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[Sales_Analysis_Dashboard_Excel.xlsx]Region Chart Data!PivotTable2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Region-wise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Chart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Chart Data'!$A$4:$A$8</c:f>
              <c:strCache>
                <c:ptCount val="4"/>
                <c:pt idx="0">
                  <c:v>North</c:v>
                </c:pt>
                <c:pt idx="1">
                  <c:v>East</c:v>
                </c:pt>
                <c:pt idx="2">
                  <c:v>West</c:v>
                </c:pt>
                <c:pt idx="3">
                  <c:v>South</c:v>
                </c:pt>
              </c:strCache>
            </c:strRef>
          </c:cat>
          <c:val>
            <c:numRef>
              <c:f>'Region Chart Data'!$B$4:$B$8</c:f>
              <c:numCache>
                <c:formatCode>[$₹-4009]\ #,##0</c:formatCode>
                <c:ptCount val="4"/>
                <c:pt idx="0">
                  <c:v>942511</c:v>
                </c:pt>
                <c:pt idx="1">
                  <c:v>917719.5</c:v>
                </c:pt>
                <c:pt idx="2">
                  <c:v>905440</c:v>
                </c:pt>
                <c:pt idx="3">
                  <c:v>674217.5</c:v>
                </c:pt>
              </c:numCache>
            </c:numRef>
          </c:val>
          <c:extLst>
            <c:ext xmlns:c16="http://schemas.microsoft.com/office/drawing/2014/chart" uri="{C3380CC4-5D6E-409C-BE32-E72D297353CC}">
              <c16:uniqueId val="{00000000-62C1-49C8-8988-218B821013AE}"/>
            </c:ext>
          </c:extLst>
        </c:ser>
        <c:dLbls>
          <c:dLblPos val="outEnd"/>
          <c:showLegendKey val="0"/>
          <c:showVal val="1"/>
          <c:showCatName val="0"/>
          <c:showSerName val="0"/>
          <c:showPercent val="0"/>
          <c:showBubbleSize val="0"/>
        </c:dLbls>
        <c:gapWidth val="182"/>
        <c:axId val="1535809920"/>
        <c:axId val="1875750960"/>
      </c:barChart>
      <c:catAx>
        <c:axId val="153580992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50960"/>
        <c:crosses val="autoZero"/>
        <c:auto val="1"/>
        <c:lblAlgn val="ctr"/>
        <c:lblOffset val="100"/>
        <c:noMultiLvlLbl val="0"/>
      </c:catAx>
      <c:valAx>
        <c:axId val="1875750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Sales Amount (INR)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80992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[Sales_Analysis_Dashboard_Excel.xlsx]Product Chart Data!PivotTable2</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Chart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Chart Data'!$A$4:$A$8</c:f>
              <c:strCache>
                <c:ptCount val="5"/>
                <c:pt idx="0">
                  <c:v>Monitor 24-inch</c:v>
                </c:pt>
                <c:pt idx="1">
                  <c:v>Office Chair</c:v>
                </c:pt>
                <c:pt idx="2">
                  <c:v>External SSD 1TB</c:v>
                </c:pt>
                <c:pt idx="3">
                  <c:v>Headphones</c:v>
                </c:pt>
                <c:pt idx="4">
                  <c:v>Webcam</c:v>
                </c:pt>
              </c:strCache>
            </c:strRef>
          </c:cat>
          <c:val>
            <c:numRef>
              <c:f>'Product Chart Data'!$B$4:$B$8</c:f>
              <c:numCache>
                <c:formatCode>[$₹-4009]\ #,##0</c:formatCode>
                <c:ptCount val="5"/>
                <c:pt idx="0">
                  <c:v>911925</c:v>
                </c:pt>
                <c:pt idx="1">
                  <c:v>522360</c:v>
                </c:pt>
                <c:pt idx="2">
                  <c:v>477100</c:v>
                </c:pt>
                <c:pt idx="3">
                  <c:v>274540</c:v>
                </c:pt>
                <c:pt idx="4">
                  <c:v>260480</c:v>
                </c:pt>
              </c:numCache>
            </c:numRef>
          </c:val>
          <c:extLst>
            <c:ext xmlns:c16="http://schemas.microsoft.com/office/drawing/2014/chart" uri="{C3380CC4-5D6E-409C-BE32-E72D297353CC}">
              <c16:uniqueId val="{00000000-C98A-436D-900D-57AA4F87CCC4}"/>
            </c:ext>
          </c:extLst>
        </c:ser>
        <c:dLbls>
          <c:dLblPos val="outEnd"/>
          <c:showLegendKey val="0"/>
          <c:showVal val="1"/>
          <c:showCatName val="0"/>
          <c:showSerName val="0"/>
          <c:showPercent val="0"/>
          <c:showBubbleSize val="0"/>
        </c:dLbls>
        <c:gapWidth val="182"/>
        <c:axId val="841476751"/>
        <c:axId val="841489231"/>
      </c:barChart>
      <c:catAx>
        <c:axId val="841476751"/>
        <c:scaling>
          <c:orientation val="maxMin"/>
        </c:scaling>
        <c:delete val="0"/>
        <c:axPos val="l"/>
        <c:title>
          <c:tx>
            <c:rich>
              <a:bodyPr rot="-5400000" spcFirstLastPara="1" vertOverflow="ellipsis" vert="horz" wrap="square" anchor="ctr" anchorCtr="1"/>
              <a:lstStyle/>
              <a:p>
                <a:pPr>
                  <a:defRPr lang="en-US"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latin typeface="+mn-lt"/>
                    <a:ea typeface="+mn-ea"/>
                    <a:cs typeface="+mn-cs"/>
                  </a:rPr>
                  <a:t>Product</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89231"/>
        <c:crosses val="autoZero"/>
        <c:auto val="1"/>
        <c:lblAlgn val="ctr"/>
        <c:lblOffset val="100"/>
        <c:noMultiLvlLbl val="0"/>
      </c:catAx>
      <c:valAx>
        <c:axId val="8414892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US"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latin typeface="+mn-lt"/>
                    <a:ea typeface="+mn-ea"/>
                    <a:cs typeface="+mn-cs"/>
                  </a:rPr>
                  <a:t>Sales Amount (INR)</a:t>
                </a:r>
              </a:p>
            </c:rich>
          </c:tx>
          <c:overlay val="0"/>
          <c:spPr>
            <a:noFill/>
            <a:ln>
              <a:noFill/>
            </a:ln>
            <a:effectLst/>
          </c:spPr>
          <c:txPr>
            <a:bodyPr rot="0" spcFirstLastPara="1" vertOverflow="ellipsis" vert="horz" wrap="square" anchor="ctr" anchorCtr="1"/>
            <a:lstStyle/>
            <a:p>
              <a:pPr algn="ctr" rtl="0">
                <a:defRPr lang="en-US" sz="1000" b="0" i="0" u="none" strike="noStrike" kern="1200" baseline="0">
                  <a:solidFill>
                    <a:sysClr val="windowText" lastClr="000000">
                      <a:lumMod val="65000"/>
                      <a:lumOff val="35000"/>
                    </a:sys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7675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[Sales_Analysis_Dashboard_Excel.xlsx]Category Chart Data!PivotTable1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Category-wise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Chart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Chart Data'!$A$4:$A$10</c:f>
              <c:strCache>
                <c:ptCount val="6"/>
                <c:pt idx="0">
                  <c:v>Electronics</c:v>
                </c:pt>
                <c:pt idx="1">
                  <c:v>Furniture</c:v>
                </c:pt>
                <c:pt idx="2">
                  <c:v>Storage</c:v>
                </c:pt>
                <c:pt idx="3">
                  <c:v>Accessories</c:v>
                </c:pt>
                <c:pt idx="4">
                  <c:v>Mobile Accessories</c:v>
                </c:pt>
                <c:pt idx="5">
                  <c:v>Stationery</c:v>
                </c:pt>
              </c:strCache>
            </c:strRef>
          </c:cat>
          <c:val>
            <c:numRef>
              <c:f>'Category Chart Data'!$B$4:$B$10</c:f>
              <c:numCache>
                <c:formatCode>[$₹-4009]\ #,##0</c:formatCode>
                <c:ptCount val="6"/>
                <c:pt idx="0">
                  <c:v>1598865</c:v>
                </c:pt>
                <c:pt idx="1">
                  <c:v>589240</c:v>
                </c:pt>
                <c:pt idx="2">
                  <c:v>541535</c:v>
                </c:pt>
                <c:pt idx="3">
                  <c:v>418045</c:v>
                </c:pt>
                <c:pt idx="4">
                  <c:v>277155</c:v>
                </c:pt>
                <c:pt idx="5">
                  <c:v>15048</c:v>
                </c:pt>
              </c:numCache>
            </c:numRef>
          </c:val>
          <c:extLst>
            <c:ext xmlns:c16="http://schemas.microsoft.com/office/drawing/2014/chart" uri="{C3380CC4-5D6E-409C-BE32-E72D297353CC}">
              <c16:uniqueId val="{00000000-A473-4AD5-9DE2-8EED731E5239}"/>
            </c:ext>
          </c:extLst>
        </c:ser>
        <c:dLbls>
          <c:dLblPos val="outEnd"/>
          <c:showLegendKey val="0"/>
          <c:showVal val="1"/>
          <c:showCatName val="0"/>
          <c:showSerName val="0"/>
          <c:showPercent val="0"/>
          <c:showBubbleSize val="0"/>
        </c:dLbls>
        <c:gapWidth val="182"/>
        <c:axId val="1875750480"/>
        <c:axId val="1535810400"/>
      </c:barChart>
      <c:catAx>
        <c:axId val="187575048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810400"/>
        <c:crosses val="autoZero"/>
        <c:auto val="1"/>
        <c:lblAlgn val="ctr"/>
        <c:lblOffset val="100"/>
        <c:noMultiLvlLbl val="0"/>
      </c:catAx>
      <c:valAx>
        <c:axId val="1535810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Sales Amount (INR)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5048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16</xdr:row>
      <xdr:rowOff>157900</xdr:rowOff>
    </xdr:to>
    <xdr:graphicFrame macro="">
      <xdr:nvGraphicFramePr>
        <xdr:cNvPr id="2" name="Chart 1">
          <a:extLst>
            <a:ext uri="{FF2B5EF4-FFF2-40B4-BE49-F238E27FC236}">
              <a16:creationId xmlns:a16="http://schemas.microsoft.com/office/drawing/2014/main" id="{8AB17841-27E5-4AE8-90EE-E29A58270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16</xdr:row>
      <xdr:rowOff>157900</xdr:rowOff>
    </xdr:to>
    <xdr:graphicFrame macro="">
      <xdr:nvGraphicFramePr>
        <xdr:cNvPr id="2" name="Chart 1">
          <a:extLst>
            <a:ext uri="{FF2B5EF4-FFF2-40B4-BE49-F238E27FC236}">
              <a16:creationId xmlns:a16="http://schemas.microsoft.com/office/drawing/2014/main" id="{ECB3DDFC-4F52-481A-95B0-C49A99A27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16</xdr:row>
      <xdr:rowOff>157900</xdr:rowOff>
    </xdr:to>
    <xdr:graphicFrame macro="">
      <xdr:nvGraphicFramePr>
        <xdr:cNvPr id="2" name="Chart 1">
          <a:extLst>
            <a:ext uri="{FF2B5EF4-FFF2-40B4-BE49-F238E27FC236}">
              <a16:creationId xmlns:a16="http://schemas.microsoft.com/office/drawing/2014/main" id="{52CA0BBF-D0A5-4321-8503-1C926E48A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16</xdr:row>
      <xdr:rowOff>157900</xdr:rowOff>
    </xdr:to>
    <xdr:graphicFrame macro="">
      <xdr:nvGraphicFramePr>
        <xdr:cNvPr id="3" name="Chart 2">
          <a:extLst>
            <a:ext uri="{FF2B5EF4-FFF2-40B4-BE49-F238E27FC236}">
              <a16:creationId xmlns:a16="http://schemas.microsoft.com/office/drawing/2014/main" id="{4CE588B8-A6B8-4470-8595-FEFE44C73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57178</xdr:rowOff>
    </xdr:from>
    <xdr:to>
      <xdr:col>6</xdr:col>
      <xdr:colOff>390071</xdr:colOff>
      <xdr:row>21</xdr:row>
      <xdr:rowOff>131252</xdr:rowOff>
    </xdr:to>
    <xdr:graphicFrame macro="">
      <xdr:nvGraphicFramePr>
        <xdr:cNvPr id="2" name="Chart 1">
          <a:extLst>
            <a:ext uri="{FF2B5EF4-FFF2-40B4-BE49-F238E27FC236}">
              <a16:creationId xmlns:a16="http://schemas.microsoft.com/office/drawing/2014/main" id="{109A59EC-C167-4034-B561-99852C8C6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179630</xdr:rowOff>
    </xdr:from>
    <xdr:to>
      <xdr:col>6</xdr:col>
      <xdr:colOff>390071</xdr:colOff>
      <xdr:row>35</xdr:row>
      <xdr:rowOff>166687</xdr:rowOff>
    </xdr:to>
    <xdr:graphicFrame macro="">
      <xdr:nvGraphicFramePr>
        <xdr:cNvPr id="4" name="Chart 3">
          <a:extLst>
            <a:ext uri="{FF2B5EF4-FFF2-40B4-BE49-F238E27FC236}">
              <a16:creationId xmlns:a16="http://schemas.microsoft.com/office/drawing/2014/main" id="{29D24721-87EF-448C-BDFA-0D3C6A315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32681</xdr:colOff>
      <xdr:row>21</xdr:row>
      <xdr:rowOff>173945</xdr:rowOff>
    </xdr:from>
    <xdr:to>
      <xdr:col>12</xdr:col>
      <xdr:colOff>1444625</xdr:colOff>
      <xdr:row>35</xdr:row>
      <xdr:rowOff>166688</xdr:rowOff>
    </xdr:to>
    <xdr:graphicFrame macro="">
      <xdr:nvGraphicFramePr>
        <xdr:cNvPr id="3" name="Chart 2">
          <a:extLst>
            <a:ext uri="{FF2B5EF4-FFF2-40B4-BE49-F238E27FC236}">
              <a16:creationId xmlns:a16="http://schemas.microsoft.com/office/drawing/2014/main" id="{62C23ED1-94A3-4EB4-AFBE-295A752ED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33316</xdr:colOff>
      <xdr:row>8</xdr:row>
      <xdr:rowOff>55463</xdr:rowOff>
    </xdr:from>
    <xdr:to>
      <xdr:col>12</xdr:col>
      <xdr:colOff>1452562</xdr:colOff>
      <xdr:row>21</xdr:row>
      <xdr:rowOff>129537</xdr:rowOff>
    </xdr:to>
    <xdr:graphicFrame macro="">
      <xdr:nvGraphicFramePr>
        <xdr:cNvPr id="5" name="Chart 4">
          <a:extLst>
            <a:ext uri="{FF2B5EF4-FFF2-40B4-BE49-F238E27FC236}">
              <a16:creationId xmlns:a16="http://schemas.microsoft.com/office/drawing/2014/main" id="{B895BB03-6E9C-41A9-91C1-05FE0D72A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429949</xdr:colOff>
      <xdr:row>8</xdr:row>
      <xdr:rowOff>70063</xdr:rowOff>
    </xdr:from>
    <xdr:to>
      <xdr:col>7</xdr:col>
      <xdr:colOff>606721</xdr:colOff>
      <xdr:row>21</xdr:row>
      <xdr:rowOff>144234</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87678518-F789-4265-8343-E3E9F230305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616980" y="1644334"/>
              <a:ext cx="1506304" cy="2581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432892</xdr:colOff>
      <xdr:row>21</xdr:row>
      <xdr:rowOff>179657</xdr:rowOff>
    </xdr:from>
    <xdr:to>
      <xdr:col>8</xdr:col>
      <xdr:colOff>2631</xdr:colOff>
      <xdr:row>35</xdr:row>
      <xdr:rowOff>182561</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75421208-5439-48D4-8CA2-21427B7E4C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19923" y="4260855"/>
              <a:ext cx="1507812" cy="2594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77140</xdr:rowOff>
    </xdr:from>
    <xdr:to>
      <xdr:col>12</xdr:col>
      <xdr:colOff>1452561</xdr:colOff>
      <xdr:row>8</xdr:row>
      <xdr:rowOff>5039</xdr:rowOff>
    </xdr:to>
    <mc:AlternateContent xmlns:mc="http://schemas.openxmlformats.org/markup-compatibility/2006" xmlns:a14="http://schemas.microsoft.com/office/drawing/2010/main">
      <mc:Choice Requires="a14">
        <xdr:graphicFrame macro="">
          <xdr:nvGraphicFramePr>
            <xdr:cNvPr id="9" name="Months (Order Date)">
              <a:extLst>
                <a:ext uri="{FF2B5EF4-FFF2-40B4-BE49-F238E27FC236}">
                  <a16:creationId xmlns:a16="http://schemas.microsoft.com/office/drawing/2014/main" id="{B4DF0BB6-BD80-44C5-9E48-AF51D2282F2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0" y="910578"/>
              <a:ext cx="10732821" cy="668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ZIYAUDDIN" refreshedDate="46320.64565752315" createdVersion="8" refreshedVersion="8" minRefreshableVersion="3" recordCount="400" xr:uid="{FEB81504-7E9F-4F5E-A06C-A6BD5F993D32}">
  <cacheSource type="worksheet">
    <worksheetSource ref="A1:J401" sheet="Raw Sales Data"/>
  </cacheSource>
  <cacheFields count="12">
    <cacheField name="Order ID" numFmtId="0">
      <sharedItems count="400">
        <s v="ORD-00307"/>
        <s v="ORD-00352"/>
        <s v="ORD-00077"/>
        <s v="ORD-00144"/>
        <s v="ORD-00151"/>
        <s v="ORD-00097"/>
        <s v="ORD-00314"/>
        <s v="ORD-00337"/>
        <s v="ORD-00021"/>
        <s v="ORD-00083"/>
        <s v="ORD-00191"/>
        <s v="ORD-00087"/>
        <s v="ORD-00364"/>
        <s v="ORD-00123"/>
        <s v="ORD-00137"/>
        <s v="ORD-00084"/>
        <s v="ORD-00111"/>
        <s v="ORD-00240"/>
        <s v="ORD-00277"/>
        <s v="ORD-00387"/>
        <s v="ORD-00050"/>
        <s v="ORD-00219"/>
        <s v="ORD-00284"/>
        <s v="ORD-00226"/>
        <s v="ORD-00230"/>
        <s v="ORD-00374"/>
        <s v="ORD-00256"/>
        <s v="ORD-00222"/>
        <s v="ORD-00081"/>
        <s v="ORD-00103"/>
        <s v="ORD-00121"/>
        <s v="ORD-00198"/>
        <s v="ORD-00199"/>
        <s v="ORD-00306"/>
        <s v="ORD-00075"/>
        <s v="ORD-00027"/>
        <s v="ORD-00239"/>
        <s v="ORD-00139"/>
        <s v="ORD-00354"/>
        <s v="ORD-00147"/>
        <s v="ORD-00160"/>
        <s v="ORD-00181"/>
        <s v="ORD-00174"/>
        <s v="ORD-00207"/>
        <s v="ORD-00006"/>
        <s v="ORD-00269"/>
        <s v="ORD-00373"/>
        <s v="ORD-00109"/>
        <s v="ORD-00287"/>
        <s v="ORD-00002"/>
        <s v="ORD-00195"/>
        <s v="ORD-00215"/>
        <s v="ORD-00338"/>
        <s v="ORD-00031"/>
        <s v="ORD-00286"/>
        <s v="ORD-00016"/>
        <s v="ORD-00185"/>
        <s v="ORD-00293"/>
        <s v="ORD-00242"/>
        <s v="ORD-00155"/>
        <s v="ORD-00382"/>
        <s v="ORD-00107"/>
        <s v="ORD-00244"/>
        <s v="ORD-00165"/>
        <s v="ORD-00169"/>
        <s v="ORD-00063"/>
        <s v="ORD-00163"/>
        <s v="ORD-00206"/>
        <s v="ORD-00210"/>
        <s v="ORD-00300"/>
        <s v="ORD-00229"/>
        <s v="ORD-00359"/>
        <s v="ORD-00383"/>
        <s v="ORD-00247"/>
        <s v="ORD-00346"/>
        <s v="ORD-00392"/>
        <s v="ORD-00113"/>
        <s v="ORD-00396"/>
        <s v="ORD-00133"/>
        <s v="ORD-00067"/>
        <s v="ORD-00069"/>
        <s v="ORD-00216"/>
        <s v="ORD-00205"/>
        <s v="ORD-00197"/>
        <s v="ORD-00209"/>
        <s v="ORD-00313"/>
        <s v="ORD-00141"/>
        <s v="ORD-00183"/>
        <s v="ORD-00053"/>
        <s v="ORD-00079"/>
        <s v="ORD-00086"/>
        <s v="ORD-00357"/>
        <s v="ORD-00356"/>
        <s v="ORD-00110"/>
        <s v="ORD-00091"/>
        <s v="ORD-00102"/>
        <s v="ORD-00311"/>
        <s v="ORD-00179"/>
        <s v="ORD-00180"/>
        <s v="ORD-00032"/>
        <s v="ORD-00353"/>
        <s v="ORD-00379"/>
        <s v="ORD-00377"/>
        <s v="ORD-00122"/>
        <s v="ORD-00076"/>
        <s v="ORD-00391"/>
        <s v="ORD-00187"/>
        <s v="ORD-00028"/>
        <s v="ORD-00043"/>
        <s v="ORD-00208"/>
        <s v="ORD-00162"/>
        <s v="ORD-00078"/>
        <s v="ORD-00186"/>
        <s v="ORD-00055"/>
        <s v="ORD-00056"/>
        <s v="ORD-00177"/>
        <s v="ORD-00124"/>
        <s v="ORD-00012"/>
        <s v="ORD-00116"/>
        <s v="ORD-00347"/>
        <s v="ORD-00003"/>
        <s v="ORD-00009"/>
        <s v="ORD-00212"/>
        <s v="ORD-00093"/>
        <s v="ORD-00161"/>
        <s v="ORD-00040"/>
        <s v="ORD-00358"/>
        <s v="ORD-00105"/>
        <s v="ORD-00058"/>
        <s v="ORD-00243"/>
        <s v="ORD-00019"/>
        <s v="ORD-00014"/>
        <s v="ORD-00112"/>
        <s v="ORD-00018"/>
        <s v="ORD-00234"/>
        <s v="ORD-00339"/>
        <s v="ORD-00073"/>
        <s v="ORD-00048"/>
        <s v="ORD-00101"/>
        <s v="ORD-00005"/>
        <s v="ORD-00057"/>
        <s v="ORD-00281"/>
        <s v="ORD-00378"/>
        <s v="ORD-00044"/>
        <s v="ORD-00066"/>
        <s v="ORD-00176"/>
        <s v="ORD-00268"/>
        <s v="ORD-00384"/>
        <s v="ORD-00262"/>
        <s v="ORD-00291"/>
        <s v="ORD-00355"/>
        <s v="ORD-00235"/>
        <s v="ORD-00149"/>
        <s v="ORD-00350"/>
        <s v="ORD-00128"/>
        <s v="ORD-00258"/>
        <s v="ORD-00045"/>
        <s v="ORD-00321"/>
        <s v="ORD-00340"/>
        <s v="ORD-00345"/>
        <s v="ORD-00051"/>
        <s v="ORD-00264"/>
        <s v="ORD-00193"/>
        <s v="ORD-00182"/>
        <s v="ORD-00372"/>
        <s v="ORD-00329"/>
        <s v="ORD-00042"/>
        <s v="ORD-00100"/>
        <s v="ORD-00120"/>
        <s v="ORD-00344"/>
        <s v="ORD-00282"/>
        <s v="ORD-00074"/>
        <s v="ORD-00272"/>
        <s v="ORD-00289"/>
        <s v="ORD-00327"/>
        <s v="ORD-00296"/>
        <s v="ORD-00400"/>
        <s v="ORD-00094"/>
        <s v="ORD-00204"/>
        <s v="ORD-00297"/>
        <s v="ORD-00274"/>
        <s v="ORD-00325"/>
        <s v="ORD-00294"/>
        <s v="ORD-00134"/>
        <s v="ORD-00227"/>
        <s v="ORD-00260"/>
        <s v="ORD-00145"/>
        <s v="ORD-00228"/>
        <s v="ORD-00237"/>
        <s v="ORD-00010"/>
        <s v="ORD-00164"/>
        <s v="ORD-00328"/>
        <s v="ORD-00008"/>
        <s v="ORD-00098"/>
        <s v="ORD-00156"/>
        <s v="ORD-00203"/>
        <s v="ORD-00020"/>
        <s v="ORD-00173"/>
        <s v="ORD-00218"/>
        <s v="ORD-00370"/>
        <s v="ORD-00310"/>
        <s v="ORD-00341"/>
        <s v="ORD-00082"/>
        <s v="ORD-00143"/>
        <s v="ORD-00152"/>
        <s v="ORD-00130"/>
        <s v="ORD-00233"/>
        <s v="ORD-00035"/>
        <s v="ORD-00380"/>
        <s v="ORD-00363"/>
        <s v="ORD-00189"/>
        <s v="ORD-00015"/>
        <s v="ORD-00172"/>
        <s v="ORD-00267"/>
        <s v="ORD-00397"/>
        <s v="ORD-00299"/>
        <s v="ORD-00376"/>
        <s v="ORD-00029"/>
        <s v="ORD-00096"/>
        <s v="ORD-00309"/>
        <s v="ORD-00320"/>
        <s v="ORD-00365"/>
        <s v="ORD-00119"/>
        <s v="ORD-00211"/>
        <s v="ORD-00278"/>
        <s v="ORD-00127"/>
        <s v="ORD-00217"/>
        <s v="ORD-00386"/>
        <s v="ORD-00290"/>
        <s v="ORD-00366"/>
        <s v="ORD-00190"/>
        <s v="ORD-00224"/>
        <s v="ORD-00061"/>
        <s v="ORD-00138"/>
        <s v="ORD-00369"/>
        <s v="ORD-00059"/>
        <s v="ORD-00136"/>
        <s v="ORD-00342"/>
        <s v="ORD-00192"/>
        <s v="ORD-00213"/>
        <s v="ORD-00360"/>
        <s v="ORD-00065"/>
        <s v="ORD-00108"/>
        <s v="ORD-00304"/>
        <s v="ORD-00158"/>
        <s v="ORD-00305"/>
        <s v="ORD-00323"/>
        <s v="ORD-00390"/>
        <s v="ORD-00025"/>
        <s v="ORD-00292"/>
        <s v="ORD-00142"/>
        <s v="ORD-00280"/>
        <s v="ORD-00332"/>
        <s v="ORD-00011"/>
        <s v="ORD-00140"/>
        <s v="ORD-00071"/>
        <s v="ORD-00312"/>
        <s v="ORD-00261"/>
        <s v="ORD-00030"/>
        <s v="ORD-00114"/>
        <s v="ORD-00118"/>
        <s v="ORD-00301"/>
        <s v="ORD-00085"/>
        <s v="ORD-00231"/>
        <s v="ORD-00271"/>
        <s v="ORD-00275"/>
        <s v="ORD-00072"/>
        <s v="ORD-00201"/>
        <s v="ORD-00249"/>
        <s v="ORD-00276"/>
        <s v="ORD-00285"/>
        <s v="ORD-00326"/>
        <s v="ORD-00034"/>
        <s v="ORD-00259"/>
        <s v="ORD-00371"/>
        <s v="ORD-00385"/>
        <s v="ORD-00090"/>
        <s v="ORD-00333"/>
        <s v="ORD-00168"/>
        <s v="ORD-00388"/>
        <s v="ORD-00188"/>
        <s v="ORD-00223"/>
        <s v="ORD-00132"/>
        <s v="ORD-00202"/>
        <s v="ORD-00303"/>
        <s v="ORD-00062"/>
        <s v="ORD-00367"/>
        <s v="ORD-00125"/>
        <s v="ORD-00273"/>
        <s v="ORD-00194"/>
        <s v="ORD-00166"/>
        <s v="ORD-00238"/>
        <s v="ORD-00295"/>
        <s v="ORD-00375"/>
        <s v="ORD-00117"/>
        <s v="ORD-00252"/>
        <s v="ORD-00253"/>
        <s v="ORD-00279"/>
        <s v="ORD-00225"/>
        <s v="ORD-00038"/>
        <s v="ORD-00170"/>
        <s v="ORD-00322"/>
        <s v="ORD-00089"/>
        <s v="ORD-00399"/>
        <s v="ORD-00007"/>
        <s v="ORD-00266"/>
        <s v="ORD-00393"/>
        <s v="ORD-00024"/>
        <s v="ORD-00148"/>
        <s v="ORD-00316"/>
        <s v="ORD-00037"/>
        <s v="ORD-00135"/>
        <s v="ORD-00308"/>
        <s v="ORD-00389"/>
        <s v="ORD-00064"/>
        <s v="ORD-00221"/>
        <s v="ORD-00288"/>
        <s v="ORD-00049"/>
        <s v="ORD-00126"/>
        <s v="ORD-00129"/>
        <s v="ORD-00248"/>
        <s v="ORD-00026"/>
        <s v="ORD-00046"/>
        <s v="ORD-00330"/>
        <s v="ORD-00349"/>
        <s v="ORD-00319"/>
        <s v="ORD-00153"/>
        <s v="ORD-00175"/>
        <s v="ORD-00080"/>
        <s v="ORD-00013"/>
        <s v="ORD-00022"/>
        <s v="ORD-00331"/>
        <s v="ORD-00104"/>
        <s v="ORD-00178"/>
        <s v="ORD-00241"/>
        <s v="ORD-00317"/>
        <s v="ORD-00060"/>
        <s v="ORD-00106"/>
        <s v="ORD-00263"/>
        <s v="ORD-00200"/>
        <s v="ORD-00398"/>
        <s v="ORD-00265"/>
        <s v="ORD-00004"/>
        <s v="ORD-00381"/>
        <s v="ORD-00088"/>
        <s v="ORD-00092"/>
        <s v="ORD-00039"/>
        <s v="ORD-00017"/>
        <s v="ORD-00095"/>
        <s v="ORD-00115"/>
        <s v="ORD-00236"/>
        <s v="ORD-00270"/>
        <s v="ORD-00361"/>
        <s v="ORD-00214"/>
        <s v="ORD-00184"/>
        <s v="ORD-00157"/>
        <s v="ORD-00220"/>
        <s v="ORD-00336"/>
        <s v="ORD-00254"/>
        <s v="ORD-00146"/>
        <s v="ORD-00196"/>
        <s v="ORD-00257"/>
        <s v="ORD-00068"/>
        <s v="ORD-00348"/>
        <s v="ORD-00001"/>
        <s v="ORD-00251"/>
        <s v="ORD-00250"/>
        <s v="ORD-00167"/>
        <s v="ORD-00159"/>
        <s v="ORD-00154"/>
        <s v="ORD-00033"/>
        <s v="ORD-00171"/>
        <s v="ORD-00232"/>
        <s v="ORD-00368"/>
        <s v="ORD-00023"/>
        <s v="ORD-00255"/>
        <s v="ORD-00036"/>
        <s v="ORD-00318"/>
        <s v="ORD-00052"/>
        <s v="ORD-00041"/>
        <s v="ORD-00054"/>
        <s v="ORD-00334"/>
        <s v="ORD-00315"/>
        <s v="ORD-00324"/>
        <s v="ORD-00150"/>
        <s v="ORD-00283"/>
        <s v="ORD-00394"/>
        <s v="ORD-00245"/>
        <s v="ORD-00047"/>
        <s v="ORD-00298"/>
        <s v="ORD-00343"/>
        <s v="ORD-00362"/>
        <s v="ORD-00070"/>
        <s v="ORD-00099"/>
        <s v="ORD-00395"/>
        <s v="ORD-00302"/>
        <s v="ORD-00131"/>
        <s v="ORD-00335"/>
        <s v="ORD-00246"/>
        <s v="ORD-00351"/>
      </sharedItems>
    </cacheField>
    <cacheField name="Order Date" numFmtId="164">
      <sharedItems containsSemiMixedTypes="0" containsNonDate="0" containsDate="1" containsString="0" minDate="2025-01-02T00:00:00" maxDate="2026-01-01T00:00:00" count="245">
        <d v="2025-01-02T00:00:00"/>
        <d v="2025-01-03T00:00:00"/>
        <d v="2025-01-04T00:00:00"/>
        <d v="2025-01-05T00:00:00"/>
        <d v="2025-01-08T00:00:00"/>
        <d v="2025-01-09T00:00:00"/>
        <d v="2025-01-10T00:00:00"/>
        <d v="2025-01-11T00:00:00"/>
        <d v="2025-01-14T00:00:00"/>
        <d v="2025-01-15T00:00:00"/>
        <d v="2025-01-16T00:00:00"/>
        <d v="2025-01-17T00:00:00"/>
        <d v="2025-01-19T00:00:00"/>
        <d v="2025-01-20T00:00:00"/>
        <d v="2025-01-22T00:00:00"/>
        <d v="2025-01-23T00:00:00"/>
        <d v="2025-01-24T00:00:00"/>
        <d v="2025-01-25T00:00:00"/>
        <d v="2025-01-26T00:00:00"/>
        <d v="2025-01-28T00:00:00"/>
        <d v="2025-01-29T00:00:00"/>
        <d v="2025-01-30T00:00:00"/>
        <d v="2025-02-02T00:00:00"/>
        <d v="2025-02-04T00:00:00"/>
        <d v="2025-02-10T00:00:00"/>
        <d v="2025-02-15T00:00:00"/>
        <d v="2025-02-16T00:00:00"/>
        <d v="2025-02-17T00:00:00"/>
        <d v="2025-02-19T00:00:00"/>
        <d v="2025-02-20T00:00:00"/>
        <d v="2025-02-21T00:00:00"/>
        <d v="2025-02-22T00:00:00"/>
        <d v="2025-02-24T00:00:00"/>
        <d v="2025-02-25T00:00:00"/>
        <d v="2025-02-26T00:00:00"/>
        <d v="2025-02-27T00:00:00"/>
        <d v="2025-02-28T00:00:00"/>
        <d v="2025-03-01T00:00:00"/>
        <d v="2025-03-02T00:00:00"/>
        <d v="2025-03-04T00:00:00"/>
        <d v="2025-03-06T00:00:00"/>
        <d v="2025-03-07T00:00:00"/>
        <d v="2025-03-08T00:00:00"/>
        <d v="2025-03-09T00:00:00"/>
        <d v="2025-03-10T00:00:00"/>
        <d v="2025-03-11T00:00:00"/>
        <d v="2025-03-12T00:00:00"/>
        <d v="2025-03-13T00:00:00"/>
        <d v="2025-03-14T00:00:00"/>
        <d v="2025-03-15T00:00:00"/>
        <d v="2025-03-17T00:00:00"/>
        <d v="2025-03-18T00:00:00"/>
        <d v="2025-03-19T00:00:00"/>
        <d v="2025-03-21T00:00:00"/>
        <d v="2025-03-22T00:00:00"/>
        <d v="2025-03-25T00:00:00"/>
        <d v="2025-03-26T00:00:00"/>
        <d v="2025-03-27T00:00:00"/>
        <d v="2025-03-28T00:00:00"/>
        <d v="2025-03-30T00:00:00"/>
        <d v="2025-04-01T00:00:00"/>
        <d v="2025-04-02T00:00:00"/>
        <d v="2025-04-03T00:00:00"/>
        <d v="2025-04-04T00:00:00"/>
        <d v="2025-04-06T00:00:00"/>
        <d v="2025-04-11T00:00:00"/>
        <d v="2025-04-12T00:00:00"/>
        <d v="2025-04-15T00:00:00"/>
        <d v="2025-04-16T00:00:00"/>
        <d v="2025-04-18T00:00:00"/>
        <d v="2025-04-19T00:00:00"/>
        <d v="2025-04-20T00:00:00"/>
        <d v="2025-04-21T00:00:00"/>
        <d v="2025-04-23T00:00:00"/>
        <d v="2025-04-24T00:00:00"/>
        <d v="2025-04-25T00:00:00"/>
        <d v="2025-04-26T00:00:00"/>
        <d v="2025-04-28T00:00:00"/>
        <d v="2025-04-29T00:00:00"/>
        <d v="2025-04-30T00:00:00"/>
        <d v="2025-05-05T00:00:00"/>
        <d v="2025-05-07T00:00:00"/>
        <d v="2025-05-09T00:00:00"/>
        <d v="2025-05-10T00:00:00"/>
        <d v="2025-05-14T00:00:00"/>
        <d v="2025-05-15T00:00:00"/>
        <d v="2025-05-16T00:00:00"/>
        <d v="2025-05-17T00:00:00"/>
        <d v="2025-05-21T00:00:00"/>
        <d v="2025-05-22T00:00:00"/>
        <d v="2025-05-23T00:00:00"/>
        <d v="2025-05-26T00:00:00"/>
        <d v="2025-05-28T00:00:00"/>
        <d v="2025-05-29T00:00:00"/>
        <d v="2025-05-30T00:00:00"/>
        <d v="2025-05-31T00:00:00"/>
        <d v="2025-06-01T00:00:00"/>
        <d v="2025-06-02T00:00:00"/>
        <d v="2025-06-03T00:00:00"/>
        <d v="2025-06-07T00:00:00"/>
        <d v="2025-06-08T00:00:00"/>
        <d v="2025-06-09T00:00:00"/>
        <d v="2025-06-10T00:00:00"/>
        <d v="2025-06-11T00:00:00"/>
        <d v="2025-06-12T00:00:00"/>
        <d v="2025-06-13T00:00:00"/>
        <d v="2025-06-14T00:00:00"/>
        <d v="2025-06-15T00:00:00"/>
        <d v="2025-06-16T00:00:00"/>
        <d v="2025-06-18T00:00:00"/>
        <d v="2025-06-19T00:00:00"/>
        <d v="2025-06-20T00:00:00"/>
        <d v="2025-06-22T00:00:00"/>
        <d v="2025-06-23T00:00:00"/>
        <d v="2025-06-26T00:00:00"/>
        <d v="2025-06-30T00:00:00"/>
        <d v="2025-07-01T00:00:00"/>
        <d v="2025-07-03T00:00:00"/>
        <d v="2025-07-04T00:00:00"/>
        <d v="2025-07-05T00:00:00"/>
        <d v="2025-07-08T00:00:00"/>
        <d v="2025-07-09T00:00:00"/>
        <d v="2025-07-10T00:00:00"/>
        <d v="2025-07-11T00:00:00"/>
        <d v="2025-07-13T00:00:00"/>
        <d v="2025-07-14T00:00:00"/>
        <d v="2025-07-15T00:00:00"/>
        <d v="2025-07-16T00:00:00"/>
        <d v="2025-07-17T00:00:00"/>
        <d v="2025-07-19T00:00:00"/>
        <d v="2025-07-20T00:00:00"/>
        <d v="2025-07-21T00:00:00"/>
        <d v="2025-07-23T00:00:00"/>
        <d v="2025-07-24T00:00:00"/>
        <d v="2025-07-26T00:00:00"/>
        <d v="2025-07-27T00:00:00"/>
        <d v="2025-07-28T00:00:00"/>
        <d v="2025-07-29T00:00:00"/>
        <d v="2025-07-30T00:00:00"/>
        <d v="2025-07-31T00:00:00"/>
        <d v="2025-08-01T00:00:00"/>
        <d v="2025-08-02T00:00:00"/>
        <d v="2025-08-05T00:00:00"/>
        <d v="2025-08-08T00:00:00"/>
        <d v="2025-08-09T00:00:00"/>
        <d v="2025-08-11T00:00:00"/>
        <d v="2025-08-12T00:00:00"/>
        <d v="2025-08-14T00:00:00"/>
        <d v="2025-08-15T00:00:00"/>
        <d v="2025-08-16T00:00:00"/>
        <d v="2025-08-17T00:00:00"/>
        <d v="2025-08-19T00:00:00"/>
        <d v="2025-08-20T00:00:00"/>
        <d v="2025-08-21T00:00:00"/>
        <d v="2025-08-22T00:00:00"/>
        <d v="2025-08-24T00:00:00"/>
        <d v="2025-08-25T00:00:00"/>
        <d v="2025-08-26T00:00:00"/>
        <d v="2025-08-27T00:00:00"/>
        <d v="2025-08-28T00:00:00"/>
        <d v="2025-08-29T00:00:00"/>
        <d v="2025-08-30T00:00:00"/>
        <d v="2025-08-31T00:00:00"/>
        <d v="2025-09-01T00:00:00"/>
        <d v="2025-09-03T00:00:00"/>
        <d v="2025-09-04T00:00:00"/>
        <d v="2025-09-05T00:00:00"/>
        <d v="2025-09-06T00:00:00"/>
        <d v="2025-09-08T00:00:00"/>
        <d v="2025-09-09T00:00:00"/>
        <d v="2025-09-11T00:00:00"/>
        <d v="2025-09-12T00:00:00"/>
        <d v="2025-09-13T00:00:00"/>
        <d v="2025-09-15T00:00:00"/>
        <d v="2025-09-16T00:00:00"/>
        <d v="2025-09-17T00:00:00"/>
        <d v="2025-09-18T00:00:00"/>
        <d v="2025-09-19T00:00:00"/>
        <d v="2025-09-20T00:00:00"/>
        <d v="2025-09-21T00:00:00"/>
        <d v="2025-09-22T00:00:00"/>
        <d v="2025-09-23T00:00:00"/>
        <d v="2025-09-26T00:00:00"/>
        <d v="2025-09-29T00:00:00"/>
        <d v="2025-09-30T00:00:00"/>
        <d v="2025-10-01T00:00:00"/>
        <d v="2025-10-02T00:00:00"/>
        <d v="2025-10-03T00:00:00"/>
        <d v="2025-10-04T00:00:00"/>
        <d v="2025-10-05T00:00:00"/>
        <d v="2025-10-07T00:00:00"/>
        <d v="2025-10-08T00:00:00"/>
        <d v="2025-10-09T00:00:00"/>
        <d v="2025-10-10T00:00:00"/>
        <d v="2025-10-11T00:00:00"/>
        <d v="2025-10-12T00:00:00"/>
        <d v="2025-10-15T00:00:00"/>
        <d v="2025-10-16T00:00:00"/>
        <d v="2025-10-18T00:00:00"/>
        <d v="2025-10-19T00:00:00"/>
        <d v="2025-10-21T00:00:00"/>
        <d v="2025-10-22T00:00:00"/>
        <d v="2025-10-23T00:00:00"/>
        <d v="2025-10-25T00:00:00"/>
        <d v="2025-10-26T00:00:00"/>
        <d v="2025-10-29T00:00:00"/>
        <d v="2025-10-30T00:00:00"/>
        <d v="2025-10-31T00:00:00"/>
        <d v="2025-11-01T00:00:00"/>
        <d v="2025-11-02T00:00:00"/>
        <d v="2025-11-03T00:00:00"/>
        <d v="2025-11-05T00:00:00"/>
        <d v="2025-11-06T00:00:00"/>
        <d v="2025-11-07T00:00:00"/>
        <d v="2025-11-12T00:00:00"/>
        <d v="2025-11-13T00:00:00"/>
        <d v="2025-11-17T00:00:00"/>
        <d v="2025-11-18T00:00:00"/>
        <d v="2025-11-19T00:00:00"/>
        <d v="2025-11-21T00:00:00"/>
        <d v="2025-11-24T00:00:00"/>
        <d v="2025-11-25T00:00:00"/>
        <d v="2025-11-26T00:00:00"/>
        <d v="2025-11-27T00:00:00"/>
        <d v="2025-11-29T00:00:00"/>
        <d v="2025-11-30T00:00:00"/>
        <d v="2025-12-02T00:00:00"/>
        <d v="2025-12-03T00:00:00"/>
        <d v="2025-12-04T00:00:00"/>
        <d v="2025-12-05T00:00:00"/>
        <d v="2025-12-08T00:00:00"/>
        <d v="2025-12-09T00:00:00"/>
        <d v="2025-12-11T00:00:00"/>
        <d v="2025-12-13T00:00:00"/>
        <d v="2025-12-14T00:00:00"/>
        <d v="2025-12-16T00:00:00"/>
        <d v="2025-12-18T00:00:00"/>
        <d v="2025-12-21T00:00:00"/>
        <d v="2025-12-22T00:00:00"/>
        <d v="2025-12-23T00:00:00"/>
        <d v="2025-12-26T00:00:00"/>
        <d v="2025-12-27T00:00:00"/>
        <d v="2025-12-28T00:00:00"/>
        <d v="2025-12-29T00:00:00"/>
        <d v="2025-12-31T00:00:00"/>
      </sharedItems>
      <fieldGroup par="11"/>
    </cacheField>
    <cacheField name="Customer ID" numFmtId="0">
      <sharedItems/>
    </cacheField>
    <cacheField name="Product" numFmtId="0">
      <sharedItems count="16">
        <s v="Headphones"/>
        <s v="Power Bank"/>
        <s v="Bluetooth Speaker"/>
        <s v="Keyboard"/>
        <s v="USB Flash Drive 64GB"/>
        <s v="USB-C Hub"/>
        <s v="External SSD 1TB"/>
        <s v="Laptop Stand"/>
        <s v="Phone Charger"/>
        <s v="Office Chair"/>
        <s v="Monitor 24-inch"/>
        <s v="Notebook"/>
        <s v="Pen Pack"/>
        <s v="Wireless Mouse"/>
        <s v="Webcam"/>
        <s v="Desk Lamp"/>
      </sharedItems>
    </cacheField>
    <cacheField name="Category" numFmtId="0">
      <sharedItems count="6">
        <s v="Electronics"/>
        <s v="Mobile Accessories"/>
        <s v="Accessories"/>
        <s v="Storage"/>
        <s v="Furniture"/>
        <s v="Stationery"/>
      </sharedItems>
    </cacheField>
    <cacheField name="Region" numFmtId="0">
      <sharedItems count="4">
        <s v="East"/>
        <s v="North"/>
        <s v="West"/>
        <s v="South"/>
      </sharedItems>
    </cacheField>
    <cacheField name="City" numFmtId="0">
      <sharedItems count="16">
        <s v="Bhubaneswar"/>
        <s v="Jaipur"/>
        <s v="Patna"/>
        <s v="Pune"/>
        <s v="Ahmedabad"/>
        <s v="Hyderabad"/>
        <s v="Lucknow"/>
        <s v="Bengaluru"/>
        <s v="Chennai"/>
        <s v="Kolkata"/>
        <s v="Surat"/>
        <s v="Kochi"/>
        <s v="Chandigarh"/>
        <s v="Ranchi"/>
        <s v="Delhi"/>
        <s v="Mumbai"/>
      </sharedItems>
    </cacheField>
    <cacheField name="Quantity" numFmtId="0">
      <sharedItems containsSemiMixedTypes="0" containsString="0" containsNumber="1" containsInteger="1" minValue="1" maxValue="10"/>
    </cacheField>
    <cacheField name="Unit Price (INR)" numFmtId="165">
      <sharedItems containsSemiMixedTypes="0" containsString="0" containsNumber="1" minValue="76" maxValue="11025"/>
    </cacheField>
    <cacheField name="Sales Amount (INR)" numFmtId="165">
      <sharedItems containsSemiMixedTypes="0" containsString="0" containsNumber="1" minValue="76" maxValue="84000"/>
    </cacheField>
    <cacheField name="Days (Order Date)" numFmtId="0" databaseField="0">
      <fieldGroup base="1">
        <rangePr groupBy="days" startDate="2025-01-02T00:00:00" endDate="2026-01-0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2T00:00:00" endDate="2026-01-01T00:00:00"/>
        <groupItems count="14">
          <s v="&lt;02-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502648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s v="CUST-0009"/>
    <x v="0"/>
    <x v="0"/>
    <x v="0"/>
    <x v="0"/>
    <n v="3"/>
    <n v="2660"/>
    <n v="7980"/>
  </r>
  <r>
    <x v="1"/>
    <x v="1"/>
    <s v="CUST-0012"/>
    <x v="1"/>
    <x v="1"/>
    <x v="1"/>
    <x v="1"/>
    <n v="2"/>
    <n v="1800"/>
    <n v="3600"/>
  </r>
  <r>
    <x v="2"/>
    <x v="2"/>
    <s v="CUST-0063"/>
    <x v="2"/>
    <x v="0"/>
    <x v="0"/>
    <x v="2"/>
    <n v="2"/>
    <n v="2400"/>
    <n v="4800"/>
  </r>
  <r>
    <x v="3"/>
    <x v="3"/>
    <s v="CUST-0078"/>
    <x v="3"/>
    <x v="2"/>
    <x v="2"/>
    <x v="3"/>
    <n v="6"/>
    <n v="1200"/>
    <n v="7200"/>
  </r>
  <r>
    <x v="4"/>
    <x v="4"/>
    <s v="CUST-0075"/>
    <x v="4"/>
    <x v="3"/>
    <x v="2"/>
    <x v="4"/>
    <n v="3"/>
    <n v="700"/>
    <n v="2100"/>
  </r>
  <r>
    <x v="5"/>
    <x v="5"/>
    <s v="CUST-0075"/>
    <x v="5"/>
    <x v="2"/>
    <x v="3"/>
    <x v="5"/>
    <n v="2"/>
    <n v="2200"/>
    <n v="4400"/>
  </r>
  <r>
    <x v="6"/>
    <x v="5"/>
    <s v="CUST-0077"/>
    <x v="6"/>
    <x v="3"/>
    <x v="1"/>
    <x v="6"/>
    <n v="1"/>
    <n v="6175"/>
    <n v="6175"/>
  </r>
  <r>
    <x v="7"/>
    <x v="5"/>
    <s v="CUST-0023"/>
    <x v="4"/>
    <x v="3"/>
    <x v="1"/>
    <x v="6"/>
    <n v="3"/>
    <n v="700"/>
    <n v="2100"/>
  </r>
  <r>
    <x v="8"/>
    <x v="6"/>
    <s v="CUST-0031"/>
    <x v="7"/>
    <x v="2"/>
    <x v="3"/>
    <x v="7"/>
    <n v="8"/>
    <n v="1500"/>
    <n v="12000"/>
  </r>
  <r>
    <x v="9"/>
    <x v="6"/>
    <s v="CUST-0006"/>
    <x v="3"/>
    <x v="2"/>
    <x v="3"/>
    <x v="7"/>
    <n v="10"/>
    <n v="1200"/>
    <n v="12000"/>
  </r>
  <r>
    <x v="10"/>
    <x v="7"/>
    <s v="CUST-0012"/>
    <x v="8"/>
    <x v="1"/>
    <x v="0"/>
    <x v="0"/>
    <n v="1"/>
    <n v="945"/>
    <n v="945"/>
  </r>
  <r>
    <x v="11"/>
    <x v="8"/>
    <s v="CUST-0010"/>
    <x v="1"/>
    <x v="1"/>
    <x v="0"/>
    <x v="2"/>
    <n v="3"/>
    <n v="1800"/>
    <n v="5400"/>
  </r>
  <r>
    <x v="12"/>
    <x v="8"/>
    <s v="CUST-0009"/>
    <x v="9"/>
    <x v="4"/>
    <x v="0"/>
    <x v="0"/>
    <n v="8"/>
    <n v="7200"/>
    <n v="57600"/>
  </r>
  <r>
    <x v="13"/>
    <x v="9"/>
    <s v="CUST-0012"/>
    <x v="6"/>
    <x v="3"/>
    <x v="1"/>
    <x v="6"/>
    <n v="4"/>
    <n v="6500"/>
    <n v="26000"/>
  </r>
  <r>
    <x v="14"/>
    <x v="9"/>
    <s v="CUST-0048"/>
    <x v="3"/>
    <x v="2"/>
    <x v="2"/>
    <x v="4"/>
    <n v="2"/>
    <n v="1140"/>
    <n v="2280"/>
  </r>
  <r>
    <x v="15"/>
    <x v="10"/>
    <s v="CUST-0017"/>
    <x v="6"/>
    <x v="3"/>
    <x v="3"/>
    <x v="8"/>
    <n v="1"/>
    <n v="6175"/>
    <n v="6175"/>
  </r>
  <r>
    <x v="16"/>
    <x v="11"/>
    <s v="CUST-0030"/>
    <x v="6"/>
    <x v="3"/>
    <x v="0"/>
    <x v="9"/>
    <n v="2"/>
    <n v="6500"/>
    <n v="13000"/>
  </r>
  <r>
    <x v="17"/>
    <x v="11"/>
    <s v="CUST-0010"/>
    <x v="10"/>
    <x v="0"/>
    <x v="2"/>
    <x v="10"/>
    <n v="4"/>
    <n v="10500"/>
    <n v="42000"/>
  </r>
  <r>
    <x v="18"/>
    <x v="11"/>
    <s v="CUST-0020"/>
    <x v="7"/>
    <x v="2"/>
    <x v="2"/>
    <x v="10"/>
    <n v="1"/>
    <n v="1500"/>
    <n v="1500"/>
  </r>
  <r>
    <x v="19"/>
    <x v="11"/>
    <s v="CUST-0073"/>
    <x v="4"/>
    <x v="3"/>
    <x v="3"/>
    <x v="11"/>
    <n v="1"/>
    <n v="700"/>
    <n v="700"/>
  </r>
  <r>
    <x v="20"/>
    <x v="12"/>
    <s v="CUST-0006"/>
    <x v="2"/>
    <x v="0"/>
    <x v="0"/>
    <x v="2"/>
    <n v="3"/>
    <n v="2400"/>
    <n v="7200"/>
  </r>
  <r>
    <x v="21"/>
    <x v="13"/>
    <s v="CUST-0058"/>
    <x v="1"/>
    <x v="1"/>
    <x v="3"/>
    <x v="11"/>
    <n v="6"/>
    <n v="1800"/>
    <n v="10800"/>
  </r>
  <r>
    <x v="22"/>
    <x v="14"/>
    <s v="CUST-0033"/>
    <x v="1"/>
    <x v="1"/>
    <x v="2"/>
    <x v="10"/>
    <n v="8"/>
    <n v="1710"/>
    <n v="13680"/>
  </r>
  <r>
    <x v="23"/>
    <x v="15"/>
    <s v="CUST-0009"/>
    <x v="11"/>
    <x v="5"/>
    <x v="1"/>
    <x v="12"/>
    <n v="10"/>
    <n v="120"/>
    <n v="1200"/>
  </r>
  <r>
    <x v="24"/>
    <x v="15"/>
    <s v="CUST-0070"/>
    <x v="0"/>
    <x v="0"/>
    <x v="2"/>
    <x v="10"/>
    <n v="6"/>
    <n v="2800"/>
    <n v="16800"/>
  </r>
  <r>
    <x v="25"/>
    <x v="15"/>
    <s v="CUST-0032"/>
    <x v="7"/>
    <x v="2"/>
    <x v="1"/>
    <x v="1"/>
    <n v="1"/>
    <n v="1500"/>
    <n v="1500"/>
  </r>
  <r>
    <x v="26"/>
    <x v="16"/>
    <s v="CUST-0064"/>
    <x v="4"/>
    <x v="3"/>
    <x v="0"/>
    <x v="9"/>
    <n v="4"/>
    <n v="735"/>
    <n v="2940"/>
  </r>
  <r>
    <x v="27"/>
    <x v="17"/>
    <s v="CUST-0015"/>
    <x v="6"/>
    <x v="3"/>
    <x v="0"/>
    <x v="9"/>
    <n v="2"/>
    <n v="6825"/>
    <n v="13650"/>
  </r>
  <r>
    <x v="28"/>
    <x v="18"/>
    <s v="CUST-0044"/>
    <x v="4"/>
    <x v="3"/>
    <x v="0"/>
    <x v="0"/>
    <n v="2"/>
    <n v="700"/>
    <n v="1400"/>
  </r>
  <r>
    <x v="29"/>
    <x v="19"/>
    <s v="CUST-0002"/>
    <x v="1"/>
    <x v="1"/>
    <x v="0"/>
    <x v="9"/>
    <n v="4"/>
    <n v="1800"/>
    <n v="7200"/>
  </r>
  <r>
    <x v="30"/>
    <x v="19"/>
    <s v="CUST-0007"/>
    <x v="0"/>
    <x v="0"/>
    <x v="0"/>
    <x v="13"/>
    <n v="3"/>
    <n v="2940"/>
    <n v="8820"/>
  </r>
  <r>
    <x v="31"/>
    <x v="20"/>
    <s v="CUST-0005"/>
    <x v="2"/>
    <x v="0"/>
    <x v="0"/>
    <x v="13"/>
    <n v="3"/>
    <n v="2400"/>
    <n v="7200"/>
  </r>
  <r>
    <x v="32"/>
    <x v="21"/>
    <s v="CUST-0060"/>
    <x v="2"/>
    <x v="0"/>
    <x v="1"/>
    <x v="6"/>
    <n v="5"/>
    <n v="2280"/>
    <n v="11400"/>
  </r>
  <r>
    <x v="33"/>
    <x v="21"/>
    <s v="CUST-0033"/>
    <x v="9"/>
    <x v="4"/>
    <x v="1"/>
    <x v="6"/>
    <n v="4"/>
    <n v="7200"/>
    <n v="28800"/>
  </r>
  <r>
    <x v="34"/>
    <x v="22"/>
    <s v="CUST-0008"/>
    <x v="12"/>
    <x v="5"/>
    <x v="0"/>
    <x v="13"/>
    <n v="2"/>
    <n v="84"/>
    <n v="168"/>
  </r>
  <r>
    <x v="35"/>
    <x v="23"/>
    <s v="CUST-0063"/>
    <x v="3"/>
    <x v="2"/>
    <x v="3"/>
    <x v="5"/>
    <n v="6"/>
    <n v="1140"/>
    <n v="6840"/>
  </r>
  <r>
    <x v="36"/>
    <x v="23"/>
    <s v="CUST-0073"/>
    <x v="6"/>
    <x v="3"/>
    <x v="2"/>
    <x v="10"/>
    <n v="5"/>
    <n v="6500"/>
    <n v="32500"/>
  </r>
  <r>
    <x v="37"/>
    <x v="24"/>
    <s v="CUST-0030"/>
    <x v="11"/>
    <x v="5"/>
    <x v="0"/>
    <x v="2"/>
    <n v="3"/>
    <n v="120"/>
    <n v="360"/>
  </r>
  <r>
    <x v="38"/>
    <x v="25"/>
    <s v="CUST-0002"/>
    <x v="2"/>
    <x v="0"/>
    <x v="2"/>
    <x v="10"/>
    <n v="3"/>
    <n v="2520"/>
    <n v="7560"/>
  </r>
  <r>
    <x v="39"/>
    <x v="26"/>
    <s v="CUST-0017"/>
    <x v="1"/>
    <x v="1"/>
    <x v="3"/>
    <x v="8"/>
    <n v="2"/>
    <n v="1800"/>
    <n v="3600"/>
  </r>
  <r>
    <x v="40"/>
    <x v="26"/>
    <s v="CUST-0043"/>
    <x v="0"/>
    <x v="0"/>
    <x v="1"/>
    <x v="14"/>
    <n v="4"/>
    <n v="2940"/>
    <n v="11760"/>
  </r>
  <r>
    <x v="41"/>
    <x v="26"/>
    <s v="CUST-0048"/>
    <x v="0"/>
    <x v="0"/>
    <x v="2"/>
    <x v="3"/>
    <n v="2"/>
    <n v="2800"/>
    <n v="5600"/>
  </r>
  <r>
    <x v="42"/>
    <x v="27"/>
    <s v="CUST-0076"/>
    <x v="12"/>
    <x v="5"/>
    <x v="3"/>
    <x v="7"/>
    <n v="1"/>
    <n v="80"/>
    <n v="80"/>
  </r>
  <r>
    <x v="43"/>
    <x v="27"/>
    <s v="CUST-0024"/>
    <x v="12"/>
    <x v="5"/>
    <x v="2"/>
    <x v="4"/>
    <n v="3"/>
    <n v="76"/>
    <n v="228"/>
  </r>
  <r>
    <x v="44"/>
    <x v="28"/>
    <s v="CUST-0059"/>
    <x v="2"/>
    <x v="0"/>
    <x v="2"/>
    <x v="15"/>
    <n v="5"/>
    <n v="2520"/>
    <n v="12600"/>
  </r>
  <r>
    <x v="45"/>
    <x v="28"/>
    <s v="CUST-0026"/>
    <x v="11"/>
    <x v="5"/>
    <x v="2"/>
    <x v="3"/>
    <n v="2"/>
    <n v="120"/>
    <n v="240"/>
  </r>
  <r>
    <x v="46"/>
    <x v="28"/>
    <s v="CUST-0039"/>
    <x v="9"/>
    <x v="4"/>
    <x v="2"/>
    <x v="15"/>
    <n v="4"/>
    <n v="7200"/>
    <n v="28800"/>
  </r>
  <r>
    <x v="47"/>
    <x v="29"/>
    <s v="CUST-0031"/>
    <x v="0"/>
    <x v="0"/>
    <x v="1"/>
    <x v="1"/>
    <n v="3"/>
    <n v="2800"/>
    <n v="8400"/>
  </r>
  <r>
    <x v="48"/>
    <x v="30"/>
    <s v="CUST-0001"/>
    <x v="12"/>
    <x v="5"/>
    <x v="1"/>
    <x v="1"/>
    <n v="2"/>
    <n v="80"/>
    <n v="160"/>
  </r>
  <r>
    <x v="49"/>
    <x v="31"/>
    <s v="CUST-0028"/>
    <x v="5"/>
    <x v="2"/>
    <x v="1"/>
    <x v="14"/>
    <n v="3"/>
    <n v="2090"/>
    <n v="6270"/>
  </r>
  <r>
    <x v="50"/>
    <x v="31"/>
    <s v="CUST-0023"/>
    <x v="10"/>
    <x v="0"/>
    <x v="3"/>
    <x v="7"/>
    <n v="2"/>
    <n v="10500"/>
    <n v="21000"/>
  </r>
  <r>
    <x v="51"/>
    <x v="31"/>
    <s v="CUST-0066"/>
    <x v="7"/>
    <x v="2"/>
    <x v="2"/>
    <x v="10"/>
    <n v="2"/>
    <n v="1500"/>
    <n v="3000"/>
  </r>
  <r>
    <x v="52"/>
    <x v="32"/>
    <s v="CUST-0046"/>
    <x v="7"/>
    <x v="2"/>
    <x v="3"/>
    <x v="5"/>
    <n v="3"/>
    <n v="1500"/>
    <n v="4500"/>
  </r>
  <r>
    <x v="53"/>
    <x v="33"/>
    <s v="CUST-0055"/>
    <x v="6"/>
    <x v="3"/>
    <x v="0"/>
    <x v="2"/>
    <n v="1"/>
    <n v="6825"/>
    <n v="6825"/>
  </r>
  <r>
    <x v="54"/>
    <x v="33"/>
    <s v="CUST-0007"/>
    <x v="6"/>
    <x v="3"/>
    <x v="3"/>
    <x v="8"/>
    <n v="2"/>
    <n v="6825"/>
    <n v="13650"/>
  </r>
  <r>
    <x v="55"/>
    <x v="34"/>
    <s v="CUST-0049"/>
    <x v="10"/>
    <x v="0"/>
    <x v="1"/>
    <x v="6"/>
    <n v="3"/>
    <n v="10500"/>
    <n v="31500"/>
  </r>
  <r>
    <x v="56"/>
    <x v="34"/>
    <s v="CUST-0006"/>
    <x v="1"/>
    <x v="1"/>
    <x v="0"/>
    <x v="0"/>
    <n v="4"/>
    <n v="1890"/>
    <n v="7560"/>
  </r>
  <r>
    <x v="57"/>
    <x v="35"/>
    <s v="CUST-0002"/>
    <x v="8"/>
    <x v="1"/>
    <x v="2"/>
    <x v="3"/>
    <n v="1"/>
    <n v="900"/>
    <n v="900"/>
  </r>
  <r>
    <x v="58"/>
    <x v="36"/>
    <s v="CUST-0034"/>
    <x v="13"/>
    <x v="2"/>
    <x v="0"/>
    <x v="9"/>
    <n v="4"/>
    <n v="650"/>
    <n v="2600"/>
  </r>
  <r>
    <x v="59"/>
    <x v="37"/>
    <s v="CUST-0059"/>
    <x v="7"/>
    <x v="2"/>
    <x v="3"/>
    <x v="11"/>
    <n v="1"/>
    <n v="1575"/>
    <n v="1575"/>
  </r>
  <r>
    <x v="60"/>
    <x v="37"/>
    <s v="CUST-0077"/>
    <x v="14"/>
    <x v="0"/>
    <x v="0"/>
    <x v="13"/>
    <n v="2"/>
    <n v="3200"/>
    <n v="6400"/>
  </r>
  <r>
    <x v="61"/>
    <x v="38"/>
    <s v="CUST-0058"/>
    <x v="12"/>
    <x v="5"/>
    <x v="3"/>
    <x v="11"/>
    <n v="3"/>
    <n v="84"/>
    <n v="252"/>
  </r>
  <r>
    <x v="62"/>
    <x v="39"/>
    <s v="CUST-0012"/>
    <x v="10"/>
    <x v="0"/>
    <x v="3"/>
    <x v="11"/>
    <n v="6"/>
    <n v="10500"/>
    <n v="63000"/>
  </r>
  <r>
    <x v="63"/>
    <x v="40"/>
    <s v="CUST-0047"/>
    <x v="12"/>
    <x v="5"/>
    <x v="0"/>
    <x v="13"/>
    <n v="3"/>
    <n v="76"/>
    <n v="228"/>
  </r>
  <r>
    <x v="64"/>
    <x v="40"/>
    <s v="CUST-0077"/>
    <x v="4"/>
    <x v="3"/>
    <x v="2"/>
    <x v="10"/>
    <n v="3"/>
    <n v="735"/>
    <n v="2205"/>
  </r>
  <r>
    <x v="65"/>
    <x v="41"/>
    <s v="CUST-0052"/>
    <x v="0"/>
    <x v="0"/>
    <x v="3"/>
    <x v="5"/>
    <n v="2"/>
    <n v="2800"/>
    <n v="5600"/>
  </r>
  <r>
    <x v="66"/>
    <x v="42"/>
    <s v="CUST-0002"/>
    <x v="4"/>
    <x v="3"/>
    <x v="1"/>
    <x v="1"/>
    <n v="5"/>
    <n v="665"/>
    <n v="3325"/>
  </r>
  <r>
    <x v="67"/>
    <x v="42"/>
    <s v="CUST-0068"/>
    <x v="5"/>
    <x v="2"/>
    <x v="2"/>
    <x v="3"/>
    <n v="2"/>
    <n v="2200"/>
    <n v="4400"/>
  </r>
  <r>
    <x v="68"/>
    <x v="43"/>
    <s v="CUST-0006"/>
    <x v="11"/>
    <x v="5"/>
    <x v="3"/>
    <x v="11"/>
    <n v="1"/>
    <n v="120"/>
    <n v="120"/>
  </r>
  <r>
    <x v="69"/>
    <x v="44"/>
    <s v="CUST-0071"/>
    <x v="15"/>
    <x v="4"/>
    <x v="2"/>
    <x v="10"/>
    <n v="1"/>
    <n v="1155"/>
    <n v="1155"/>
  </r>
  <r>
    <x v="70"/>
    <x v="45"/>
    <s v="CUST-0026"/>
    <x v="5"/>
    <x v="2"/>
    <x v="1"/>
    <x v="12"/>
    <n v="4"/>
    <n v="2200"/>
    <n v="8800"/>
  </r>
  <r>
    <x v="71"/>
    <x v="45"/>
    <s v="CUST-0043"/>
    <x v="1"/>
    <x v="1"/>
    <x v="2"/>
    <x v="10"/>
    <n v="1"/>
    <n v="1800"/>
    <n v="1800"/>
  </r>
  <r>
    <x v="72"/>
    <x v="46"/>
    <s v="CUST-0063"/>
    <x v="11"/>
    <x v="5"/>
    <x v="3"/>
    <x v="8"/>
    <n v="2"/>
    <n v="120"/>
    <n v="240"/>
  </r>
  <r>
    <x v="73"/>
    <x v="47"/>
    <s v="CUST-0060"/>
    <x v="6"/>
    <x v="3"/>
    <x v="2"/>
    <x v="4"/>
    <n v="5"/>
    <n v="6175"/>
    <n v="30875"/>
  </r>
  <r>
    <x v="74"/>
    <x v="47"/>
    <s v="CUST-0056"/>
    <x v="5"/>
    <x v="2"/>
    <x v="1"/>
    <x v="14"/>
    <n v="3"/>
    <n v="2200"/>
    <n v="6600"/>
  </r>
  <r>
    <x v="75"/>
    <x v="47"/>
    <s v="CUST-0077"/>
    <x v="0"/>
    <x v="0"/>
    <x v="2"/>
    <x v="4"/>
    <n v="5"/>
    <n v="2660"/>
    <n v="13300"/>
  </r>
  <r>
    <x v="76"/>
    <x v="48"/>
    <s v="CUST-0016"/>
    <x v="5"/>
    <x v="2"/>
    <x v="2"/>
    <x v="10"/>
    <n v="1"/>
    <n v="2200"/>
    <n v="2200"/>
  </r>
  <r>
    <x v="77"/>
    <x v="48"/>
    <s v="CUST-0012"/>
    <x v="4"/>
    <x v="3"/>
    <x v="0"/>
    <x v="9"/>
    <n v="3"/>
    <n v="700"/>
    <n v="2100"/>
  </r>
  <r>
    <x v="78"/>
    <x v="49"/>
    <s v="CUST-0034"/>
    <x v="12"/>
    <x v="5"/>
    <x v="1"/>
    <x v="6"/>
    <n v="6"/>
    <n v="80"/>
    <n v="480"/>
  </r>
  <r>
    <x v="79"/>
    <x v="50"/>
    <s v="CUST-0054"/>
    <x v="13"/>
    <x v="2"/>
    <x v="1"/>
    <x v="6"/>
    <n v="1"/>
    <n v="650"/>
    <n v="650"/>
  </r>
  <r>
    <x v="80"/>
    <x v="50"/>
    <s v="CUST-0023"/>
    <x v="13"/>
    <x v="2"/>
    <x v="0"/>
    <x v="2"/>
    <n v="6"/>
    <n v="617.5"/>
    <n v="3705"/>
  </r>
  <r>
    <x v="81"/>
    <x v="50"/>
    <s v="CUST-0004"/>
    <x v="12"/>
    <x v="5"/>
    <x v="0"/>
    <x v="0"/>
    <n v="1"/>
    <n v="80"/>
    <n v="80"/>
  </r>
  <r>
    <x v="82"/>
    <x v="51"/>
    <s v="CUST-0051"/>
    <x v="8"/>
    <x v="1"/>
    <x v="2"/>
    <x v="4"/>
    <n v="1"/>
    <n v="900"/>
    <n v="900"/>
  </r>
  <r>
    <x v="83"/>
    <x v="52"/>
    <s v="CUST-0076"/>
    <x v="9"/>
    <x v="4"/>
    <x v="2"/>
    <x v="4"/>
    <n v="1"/>
    <n v="7200"/>
    <n v="7200"/>
  </r>
  <r>
    <x v="84"/>
    <x v="53"/>
    <s v="CUST-0080"/>
    <x v="5"/>
    <x v="2"/>
    <x v="1"/>
    <x v="12"/>
    <n v="2"/>
    <n v="2090"/>
    <n v="4180"/>
  </r>
  <r>
    <x v="85"/>
    <x v="53"/>
    <s v="CUST-0079"/>
    <x v="4"/>
    <x v="3"/>
    <x v="1"/>
    <x v="6"/>
    <n v="1"/>
    <n v="665"/>
    <n v="665"/>
  </r>
  <r>
    <x v="86"/>
    <x v="54"/>
    <s v="CUST-0033"/>
    <x v="5"/>
    <x v="2"/>
    <x v="2"/>
    <x v="10"/>
    <n v="2"/>
    <n v="2200"/>
    <n v="4400"/>
  </r>
  <r>
    <x v="87"/>
    <x v="54"/>
    <s v="CUST-0063"/>
    <x v="3"/>
    <x v="2"/>
    <x v="0"/>
    <x v="13"/>
    <n v="4"/>
    <n v="1200"/>
    <n v="4800"/>
  </r>
  <r>
    <x v="88"/>
    <x v="55"/>
    <s v="CUST-0053"/>
    <x v="14"/>
    <x v="0"/>
    <x v="3"/>
    <x v="5"/>
    <n v="6"/>
    <n v="3040"/>
    <n v="18240"/>
  </r>
  <r>
    <x v="89"/>
    <x v="56"/>
    <s v="CUST-0076"/>
    <x v="9"/>
    <x v="4"/>
    <x v="1"/>
    <x v="6"/>
    <n v="6"/>
    <n v="7560"/>
    <n v="45360"/>
  </r>
  <r>
    <x v="90"/>
    <x v="57"/>
    <s v="CUST-0075"/>
    <x v="7"/>
    <x v="2"/>
    <x v="2"/>
    <x v="15"/>
    <n v="5"/>
    <n v="1500"/>
    <n v="7500"/>
  </r>
  <r>
    <x v="91"/>
    <x v="57"/>
    <s v="CUST-0047"/>
    <x v="12"/>
    <x v="5"/>
    <x v="0"/>
    <x v="9"/>
    <n v="2"/>
    <n v="80"/>
    <n v="160"/>
  </r>
  <r>
    <x v="92"/>
    <x v="58"/>
    <s v="CUST-0009"/>
    <x v="10"/>
    <x v="0"/>
    <x v="0"/>
    <x v="2"/>
    <n v="2"/>
    <n v="10500"/>
    <n v="21000"/>
  </r>
  <r>
    <x v="93"/>
    <x v="59"/>
    <s v="CUST-0038"/>
    <x v="5"/>
    <x v="2"/>
    <x v="0"/>
    <x v="13"/>
    <n v="1"/>
    <n v="2200"/>
    <n v="2200"/>
  </r>
  <r>
    <x v="94"/>
    <x v="60"/>
    <s v="CUST-0056"/>
    <x v="4"/>
    <x v="3"/>
    <x v="0"/>
    <x v="13"/>
    <n v="3"/>
    <n v="735"/>
    <n v="2205"/>
  </r>
  <r>
    <x v="95"/>
    <x v="61"/>
    <s v="CUST-0006"/>
    <x v="1"/>
    <x v="1"/>
    <x v="3"/>
    <x v="5"/>
    <n v="1"/>
    <n v="1890"/>
    <n v="1890"/>
  </r>
  <r>
    <x v="96"/>
    <x v="61"/>
    <s v="CUST-0039"/>
    <x v="11"/>
    <x v="5"/>
    <x v="1"/>
    <x v="14"/>
    <n v="3"/>
    <n v="120"/>
    <n v="360"/>
  </r>
  <r>
    <x v="97"/>
    <x v="62"/>
    <s v="CUST-0001"/>
    <x v="4"/>
    <x v="3"/>
    <x v="2"/>
    <x v="4"/>
    <n v="4"/>
    <n v="700"/>
    <n v="2800"/>
  </r>
  <r>
    <x v="98"/>
    <x v="62"/>
    <s v="CUST-0004"/>
    <x v="10"/>
    <x v="0"/>
    <x v="1"/>
    <x v="1"/>
    <n v="3"/>
    <n v="10500"/>
    <n v="31500"/>
  </r>
  <r>
    <x v="99"/>
    <x v="63"/>
    <s v="CUST-0007"/>
    <x v="4"/>
    <x v="3"/>
    <x v="0"/>
    <x v="9"/>
    <n v="3"/>
    <n v="665"/>
    <n v="1995"/>
  </r>
  <r>
    <x v="100"/>
    <x v="64"/>
    <s v="CUST-0004"/>
    <x v="12"/>
    <x v="5"/>
    <x v="0"/>
    <x v="9"/>
    <n v="2"/>
    <n v="84"/>
    <n v="168"/>
  </r>
  <r>
    <x v="101"/>
    <x v="65"/>
    <s v="CUST-0079"/>
    <x v="9"/>
    <x v="4"/>
    <x v="2"/>
    <x v="10"/>
    <n v="1"/>
    <n v="7200"/>
    <n v="7200"/>
  </r>
  <r>
    <x v="102"/>
    <x v="66"/>
    <s v="CUST-0027"/>
    <x v="9"/>
    <x v="4"/>
    <x v="1"/>
    <x v="1"/>
    <n v="3"/>
    <n v="7200"/>
    <n v="21600"/>
  </r>
  <r>
    <x v="103"/>
    <x v="67"/>
    <s v="CUST-0016"/>
    <x v="4"/>
    <x v="3"/>
    <x v="0"/>
    <x v="13"/>
    <n v="3"/>
    <n v="700"/>
    <n v="2100"/>
  </r>
  <r>
    <x v="104"/>
    <x v="68"/>
    <s v="CUST-0062"/>
    <x v="12"/>
    <x v="5"/>
    <x v="1"/>
    <x v="6"/>
    <n v="2"/>
    <n v="84"/>
    <n v="168"/>
  </r>
  <r>
    <x v="105"/>
    <x v="69"/>
    <s v="CUST-0079"/>
    <x v="2"/>
    <x v="0"/>
    <x v="0"/>
    <x v="2"/>
    <n v="6"/>
    <n v="2520"/>
    <n v="15120"/>
  </r>
  <r>
    <x v="106"/>
    <x v="70"/>
    <s v="CUST-0001"/>
    <x v="10"/>
    <x v="0"/>
    <x v="2"/>
    <x v="15"/>
    <n v="5"/>
    <n v="10500"/>
    <n v="52500"/>
  </r>
  <r>
    <x v="107"/>
    <x v="71"/>
    <s v="CUST-0061"/>
    <x v="10"/>
    <x v="0"/>
    <x v="0"/>
    <x v="2"/>
    <n v="4"/>
    <n v="11025"/>
    <n v="44100"/>
  </r>
  <r>
    <x v="108"/>
    <x v="71"/>
    <s v="CUST-0048"/>
    <x v="4"/>
    <x v="3"/>
    <x v="1"/>
    <x v="1"/>
    <n v="1"/>
    <n v="700"/>
    <n v="700"/>
  </r>
  <r>
    <x v="109"/>
    <x v="71"/>
    <s v="CUST-0018"/>
    <x v="8"/>
    <x v="1"/>
    <x v="3"/>
    <x v="8"/>
    <n v="8"/>
    <n v="900"/>
    <n v="7200"/>
  </r>
  <r>
    <x v="110"/>
    <x v="72"/>
    <s v="CUST-0019"/>
    <x v="6"/>
    <x v="3"/>
    <x v="1"/>
    <x v="12"/>
    <n v="2"/>
    <n v="6500"/>
    <n v="13000"/>
  </r>
  <r>
    <x v="111"/>
    <x v="73"/>
    <s v="CUST-0052"/>
    <x v="4"/>
    <x v="3"/>
    <x v="0"/>
    <x v="0"/>
    <n v="2"/>
    <n v="665"/>
    <n v="1330"/>
  </r>
  <r>
    <x v="112"/>
    <x v="73"/>
    <s v="CUST-0039"/>
    <x v="11"/>
    <x v="5"/>
    <x v="1"/>
    <x v="1"/>
    <n v="10"/>
    <n v="114"/>
    <n v="1140"/>
  </r>
  <r>
    <x v="113"/>
    <x v="74"/>
    <s v="CUST-0030"/>
    <x v="0"/>
    <x v="0"/>
    <x v="2"/>
    <x v="4"/>
    <n v="5"/>
    <n v="2800"/>
    <n v="14000"/>
  </r>
  <r>
    <x v="114"/>
    <x v="75"/>
    <s v="CUST-0009"/>
    <x v="13"/>
    <x v="2"/>
    <x v="2"/>
    <x v="4"/>
    <n v="4"/>
    <n v="650"/>
    <n v="2600"/>
  </r>
  <r>
    <x v="115"/>
    <x v="75"/>
    <s v="CUST-0036"/>
    <x v="7"/>
    <x v="2"/>
    <x v="2"/>
    <x v="15"/>
    <n v="2"/>
    <n v="1575"/>
    <n v="3150"/>
  </r>
  <r>
    <x v="116"/>
    <x v="76"/>
    <s v="CUST-0038"/>
    <x v="7"/>
    <x v="2"/>
    <x v="3"/>
    <x v="11"/>
    <n v="3"/>
    <n v="1425"/>
    <n v="4275"/>
  </r>
  <r>
    <x v="117"/>
    <x v="77"/>
    <s v="CUST-0028"/>
    <x v="3"/>
    <x v="2"/>
    <x v="2"/>
    <x v="15"/>
    <n v="5"/>
    <n v="1200"/>
    <n v="6000"/>
  </r>
  <r>
    <x v="118"/>
    <x v="77"/>
    <s v="CUST-0061"/>
    <x v="13"/>
    <x v="2"/>
    <x v="1"/>
    <x v="1"/>
    <n v="10"/>
    <n v="650"/>
    <n v="6500"/>
  </r>
  <r>
    <x v="119"/>
    <x v="78"/>
    <s v="CUST-0004"/>
    <x v="5"/>
    <x v="2"/>
    <x v="0"/>
    <x v="0"/>
    <n v="2"/>
    <n v="2310"/>
    <n v="4620"/>
  </r>
  <r>
    <x v="120"/>
    <x v="79"/>
    <s v="CUST-0058"/>
    <x v="13"/>
    <x v="2"/>
    <x v="0"/>
    <x v="2"/>
    <n v="3"/>
    <n v="682.5"/>
    <n v="2047.5"/>
  </r>
  <r>
    <x v="121"/>
    <x v="79"/>
    <s v="CUST-0048"/>
    <x v="7"/>
    <x v="2"/>
    <x v="2"/>
    <x v="3"/>
    <n v="2"/>
    <n v="1500"/>
    <n v="3000"/>
  </r>
  <r>
    <x v="122"/>
    <x v="79"/>
    <s v="CUST-0074"/>
    <x v="6"/>
    <x v="3"/>
    <x v="3"/>
    <x v="5"/>
    <n v="2"/>
    <n v="6500"/>
    <n v="13000"/>
  </r>
  <r>
    <x v="123"/>
    <x v="80"/>
    <s v="CUST-0064"/>
    <x v="9"/>
    <x v="4"/>
    <x v="2"/>
    <x v="15"/>
    <n v="3"/>
    <n v="7200"/>
    <n v="21600"/>
  </r>
  <r>
    <x v="124"/>
    <x v="80"/>
    <s v="CUST-0076"/>
    <x v="10"/>
    <x v="0"/>
    <x v="1"/>
    <x v="1"/>
    <n v="5"/>
    <n v="10500"/>
    <n v="52500"/>
  </r>
  <r>
    <x v="125"/>
    <x v="81"/>
    <s v="CUST-0027"/>
    <x v="3"/>
    <x v="2"/>
    <x v="2"/>
    <x v="4"/>
    <n v="3"/>
    <n v="1200"/>
    <n v="3600"/>
  </r>
  <r>
    <x v="126"/>
    <x v="82"/>
    <s v="CUST-0014"/>
    <x v="6"/>
    <x v="3"/>
    <x v="3"/>
    <x v="11"/>
    <n v="4"/>
    <n v="6500"/>
    <n v="26000"/>
  </r>
  <r>
    <x v="127"/>
    <x v="83"/>
    <s v="CUST-0010"/>
    <x v="15"/>
    <x v="4"/>
    <x v="0"/>
    <x v="13"/>
    <n v="1"/>
    <n v="1045"/>
    <n v="1045"/>
  </r>
  <r>
    <x v="128"/>
    <x v="84"/>
    <s v="CUST-0077"/>
    <x v="14"/>
    <x v="0"/>
    <x v="1"/>
    <x v="14"/>
    <n v="3"/>
    <n v="3200"/>
    <n v="9600"/>
  </r>
  <r>
    <x v="129"/>
    <x v="84"/>
    <s v="CUST-0026"/>
    <x v="9"/>
    <x v="4"/>
    <x v="2"/>
    <x v="10"/>
    <n v="1"/>
    <n v="7560"/>
    <n v="7560"/>
  </r>
  <r>
    <x v="130"/>
    <x v="85"/>
    <s v="CUST-0020"/>
    <x v="14"/>
    <x v="0"/>
    <x v="2"/>
    <x v="3"/>
    <n v="3"/>
    <n v="3040"/>
    <n v="9120"/>
  </r>
  <r>
    <x v="131"/>
    <x v="86"/>
    <s v="CUST-0075"/>
    <x v="10"/>
    <x v="0"/>
    <x v="2"/>
    <x v="10"/>
    <n v="2"/>
    <n v="11025"/>
    <n v="22050"/>
  </r>
  <r>
    <x v="132"/>
    <x v="86"/>
    <s v="CUST-0035"/>
    <x v="0"/>
    <x v="0"/>
    <x v="3"/>
    <x v="8"/>
    <n v="2"/>
    <n v="2940"/>
    <n v="5880"/>
  </r>
  <r>
    <x v="133"/>
    <x v="87"/>
    <s v="CUST-0001"/>
    <x v="8"/>
    <x v="1"/>
    <x v="3"/>
    <x v="11"/>
    <n v="1"/>
    <n v="900"/>
    <n v="900"/>
  </r>
  <r>
    <x v="134"/>
    <x v="87"/>
    <s v="CUST-0070"/>
    <x v="5"/>
    <x v="2"/>
    <x v="0"/>
    <x v="2"/>
    <n v="4"/>
    <n v="2090"/>
    <n v="8360"/>
  </r>
  <r>
    <x v="135"/>
    <x v="87"/>
    <s v="CUST-0029"/>
    <x v="11"/>
    <x v="5"/>
    <x v="0"/>
    <x v="2"/>
    <n v="1"/>
    <n v="120"/>
    <n v="120"/>
  </r>
  <r>
    <x v="136"/>
    <x v="88"/>
    <s v="CUST-0043"/>
    <x v="9"/>
    <x v="4"/>
    <x v="3"/>
    <x v="5"/>
    <n v="1"/>
    <n v="7200"/>
    <n v="7200"/>
  </r>
  <r>
    <x v="137"/>
    <x v="89"/>
    <s v="CUST-0057"/>
    <x v="3"/>
    <x v="2"/>
    <x v="2"/>
    <x v="3"/>
    <n v="1"/>
    <n v="1200"/>
    <n v="1200"/>
  </r>
  <r>
    <x v="138"/>
    <x v="89"/>
    <s v="CUST-0047"/>
    <x v="1"/>
    <x v="1"/>
    <x v="2"/>
    <x v="3"/>
    <n v="10"/>
    <n v="1800"/>
    <n v="18000"/>
  </r>
  <r>
    <x v="139"/>
    <x v="90"/>
    <s v="CUST-0049"/>
    <x v="10"/>
    <x v="0"/>
    <x v="1"/>
    <x v="14"/>
    <n v="1"/>
    <n v="10500"/>
    <n v="10500"/>
  </r>
  <r>
    <x v="140"/>
    <x v="90"/>
    <s v="CUST-0015"/>
    <x v="2"/>
    <x v="0"/>
    <x v="2"/>
    <x v="15"/>
    <n v="4"/>
    <n v="2400"/>
    <n v="9600"/>
  </r>
  <r>
    <x v="141"/>
    <x v="90"/>
    <s v="CUST-0063"/>
    <x v="1"/>
    <x v="1"/>
    <x v="2"/>
    <x v="3"/>
    <n v="1"/>
    <n v="1800"/>
    <n v="1800"/>
  </r>
  <r>
    <x v="142"/>
    <x v="90"/>
    <s v="CUST-0042"/>
    <x v="5"/>
    <x v="2"/>
    <x v="3"/>
    <x v="5"/>
    <n v="3"/>
    <n v="2310"/>
    <n v="6930"/>
  </r>
  <r>
    <x v="143"/>
    <x v="91"/>
    <s v="CUST-0071"/>
    <x v="14"/>
    <x v="0"/>
    <x v="2"/>
    <x v="15"/>
    <n v="2"/>
    <n v="3360"/>
    <n v="6720"/>
  </r>
  <r>
    <x v="144"/>
    <x v="91"/>
    <s v="CUST-0026"/>
    <x v="8"/>
    <x v="1"/>
    <x v="2"/>
    <x v="3"/>
    <n v="1"/>
    <n v="900"/>
    <n v="900"/>
  </r>
  <r>
    <x v="145"/>
    <x v="92"/>
    <s v="CUST-0062"/>
    <x v="1"/>
    <x v="1"/>
    <x v="3"/>
    <x v="8"/>
    <n v="2"/>
    <n v="1890"/>
    <n v="3780"/>
  </r>
  <r>
    <x v="146"/>
    <x v="92"/>
    <s v="CUST-0017"/>
    <x v="5"/>
    <x v="2"/>
    <x v="2"/>
    <x v="15"/>
    <n v="2"/>
    <n v="2200"/>
    <n v="4400"/>
  </r>
  <r>
    <x v="147"/>
    <x v="92"/>
    <s v="CUST-0002"/>
    <x v="10"/>
    <x v="0"/>
    <x v="1"/>
    <x v="12"/>
    <n v="1"/>
    <n v="10500"/>
    <n v="10500"/>
  </r>
  <r>
    <x v="148"/>
    <x v="93"/>
    <s v="CUST-0042"/>
    <x v="11"/>
    <x v="5"/>
    <x v="3"/>
    <x v="8"/>
    <n v="6"/>
    <n v="120"/>
    <n v="720"/>
  </r>
  <r>
    <x v="149"/>
    <x v="93"/>
    <s v="CUST-0037"/>
    <x v="3"/>
    <x v="2"/>
    <x v="1"/>
    <x v="12"/>
    <n v="1"/>
    <n v="1260"/>
    <n v="1260"/>
  </r>
  <r>
    <x v="150"/>
    <x v="94"/>
    <s v="CUST-0049"/>
    <x v="12"/>
    <x v="5"/>
    <x v="3"/>
    <x v="8"/>
    <n v="2"/>
    <n v="76"/>
    <n v="152"/>
  </r>
  <r>
    <x v="151"/>
    <x v="95"/>
    <s v="CUST-0058"/>
    <x v="8"/>
    <x v="1"/>
    <x v="2"/>
    <x v="4"/>
    <n v="1"/>
    <n v="900"/>
    <n v="900"/>
  </r>
  <r>
    <x v="152"/>
    <x v="96"/>
    <s v="CUST-0029"/>
    <x v="8"/>
    <x v="1"/>
    <x v="1"/>
    <x v="1"/>
    <n v="5"/>
    <n v="900"/>
    <n v="4500"/>
  </r>
  <r>
    <x v="153"/>
    <x v="96"/>
    <s v="CUST-0049"/>
    <x v="6"/>
    <x v="3"/>
    <x v="2"/>
    <x v="3"/>
    <n v="4"/>
    <n v="6175"/>
    <n v="24700"/>
  </r>
  <r>
    <x v="154"/>
    <x v="97"/>
    <s v="CUST-0043"/>
    <x v="15"/>
    <x v="4"/>
    <x v="0"/>
    <x v="0"/>
    <n v="6"/>
    <n v="1100"/>
    <n v="6600"/>
  </r>
  <r>
    <x v="155"/>
    <x v="97"/>
    <s v="CUST-0054"/>
    <x v="9"/>
    <x v="4"/>
    <x v="3"/>
    <x v="11"/>
    <n v="1"/>
    <n v="6840"/>
    <n v="6840"/>
  </r>
  <r>
    <x v="156"/>
    <x v="98"/>
    <s v="CUST-0014"/>
    <x v="7"/>
    <x v="2"/>
    <x v="2"/>
    <x v="15"/>
    <n v="8"/>
    <n v="1500"/>
    <n v="12000"/>
  </r>
  <r>
    <x v="157"/>
    <x v="98"/>
    <s v="CUST-0072"/>
    <x v="10"/>
    <x v="0"/>
    <x v="0"/>
    <x v="13"/>
    <n v="5"/>
    <n v="9975"/>
    <n v="49875"/>
  </r>
  <r>
    <x v="158"/>
    <x v="98"/>
    <s v="CUST-0049"/>
    <x v="5"/>
    <x v="2"/>
    <x v="1"/>
    <x v="6"/>
    <n v="4"/>
    <n v="2090"/>
    <n v="8360"/>
  </r>
  <r>
    <x v="159"/>
    <x v="98"/>
    <s v="CUST-0050"/>
    <x v="14"/>
    <x v="0"/>
    <x v="0"/>
    <x v="0"/>
    <n v="3"/>
    <n v="3360"/>
    <n v="10080"/>
  </r>
  <r>
    <x v="160"/>
    <x v="99"/>
    <s v="CUST-0032"/>
    <x v="2"/>
    <x v="0"/>
    <x v="2"/>
    <x v="3"/>
    <n v="6"/>
    <n v="2280"/>
    <n v="13680"/>
  </r>
  <r>
    <x v="161"/>
    <x v="99"/>
    <s v="CUST-0028"/>
    <x v="15"/>
    <x v="4"/>
    <x v="0"/>
    <x v="2"/>
    <n v="1"/>
    <n v="1100"/>
    <n v="1100"/>
  </r>
  <r>
    <x v="162"/>
    <x v="100"/>
    <s v="CUST-0068"/>
    <x v="8"/>
    <x v="1"/>
    <x v="1"/>
    <x v="14"/>
    <n v="1"/>
    <n v="900"/>
    <n v="900"/>
  </r>
  <r>
    <x v="163"/>
    <x v="101"/>
    <s v="CUST-0020"/>
    <x v="8"/>
    <x v="1"/>
    <x v="1"/>
    <x v="14"/>
    <n v="5"/>
    <n v="945"/>
    <n v="4725"/>
  </r>
  <r>
    <x v="164"/>
    <x v="101"/>
    <s v="CUST-0061"/>
    <x v="8"/>
    <x v="1"/>
    <x v="0"/>
    <x v="0"/>
    <n v="2"/>
    <n v="900"/>
    <n v="1800"/>
  </r>
  <r>
    <x v="165"/>
    <x v="102"/>
    <s v="CUST-0034"/>
    <x v="12"/>
    <x v="5"/>
    <x v="3"/>
    <x v="7"/>
    <n v="1"/>
    <n v="80"/>
    <n v="80"/>
  </r>
  <r>
    <x v="166"/>
    <x v="103"/>
    <s v="CUST-0069"/>
    <x v="5"/>
    <x v="2"/>
    <x v="1"/>
    <x v="14"/>
    <n v="1"/>
    <n v="2310"/>
    <n v="2310"/>
  </r>
  <r>
    <x v="167"/>
    <x v="103"/>
    <s v="CUST-0062"/>
    <x v="7"/>
    <x v="2"/>
    <x v="3"/>
    <x v="8"/>
    <n v="4"/>
    <n v="1500"/>
    <n v="6000"/>
  </r>
  <r>
    <x v="168"/>
    <x v="103"/>
    <s v="CUST-0053"/>
    <x v="4"/>
    <x v="3"/>
    <x v="1"/>
    <x v="6"/>
    <n v="2"/>
    <n v="700"/>
    <n v="1400"/>
  </r>
  <r>
    <x v="169"/>
    <x v="103"/>
    <s v="CUST-0010"/>
    <x v="13"/>
    <x v="2"/>
    <x v="3"/>
    <x v="11"/>
    <n v="8"/>
    <n v="682.5"/>
    <n v="5460"/>
  </r>
  <r>
    <x v="170"/>
    <x v="104"/>
    <s v="CUST-0074"/>
    <x v="15"/>
    <x v="4"/>
    <x v="2"/>
    <x v="15"/>
    <n v="2"/>
    <n v="1100"/>
    <n v="2200"/>
  </r>
  <r>
    <x v="171"/>
    <x v="105"/>
    <s v="CUST-0028"/>
    <x v="5"/>
    <x v="2"/>
    <x v="0"/>
    <x v="2"/>
    <n v="1"/>
    <n v="2200"/>
    <n v="2200"/>
  </r>
  <r>
    <x v="172"/>
    <x v="105"/>
    <s v="CUST-0065"/>
    <x v="14"/>
    <x v="0"/>
    <x v="2"/>
    <x v="4"/>
    <n v="2"/>
    <n v="3360"/>
    <n v="6720"/>
  </r>
  <r>
    <x v="173"/>
    <x v="106"/>
    <s v="CUST-0023"/>
    <x v="1"/>
    <x v="1"/>
    <x v="3"/>
    <x v="7"/>
    <n v="4"/>
    <n v="1710"/>
    <n v="6840"/>
  </r>
  <r>
    <x v="174"/>
    <x v="106"/>
    <s v="CUST-0034"/>
    <x v="1"/>
    <x v="1"/>
    <x v="2"/>
    <x v="4"/>
    <n v="2"/>
    <n v="1890"/>
    <n v="3780"/>
  </r>
  <r>
    <x v="175"/>
    <x v="107"/>
    <s v="CUST-0035"/>
    <x v="6"/>
    <x v="3"/>
    <x v="3"/>
    <x v="11"/>
    <n v="1"/>
    <n v="6500"/>
    <n v="6500"/>
  </r>
  <r>
    <x v="176"/>
    <x v="107"/>
    <s v="CUST-0044"/>
    <x v="1"/>
    <x v="1"/>
    <x v="3"/>
    <x v="11"/>
    <n v="2"/>
    <n v="1890"/>
    <n v="3780"/>
  </r>
  <r>
    <x v="177"/>
    <x v="108"/>
    <s v="CUST-0036"/>
    <x v="14"/>
    <x v="0"/>
    <x v="2"/>
    <x v="4"/>
    <n v="3"/>
    <n v="3200"/>
    <n v="9600"/>
  </r>
  <r>
    <x v="178"/>
    <x v="109"/>
    <s v="CUST-0078"/>
    <x v="7"/>
    <x v="2"/>
    <x v="2"/>
    <x v="4"/>
    <n v="3"/>
    <n v="1500"/>
    <n v="4500"/>
  </r>
  <r>
    <x v="179"/>
    <x v="109"/>
    <s v="CUST-0047"/>
    <x v="1"/>
    <x v="1"/>
    <x v="1"/>
    <x v="12"/>
    <n v="3"/>
    <n v="1890"/>
    <n v="5670"/>
  </r>
  <r>
    <x v="180"/>
    <x v="110"/>
    <s v="CUST-0077"/>
    <x v="7"/>
    <x v="2"/>
    <x v="2"/>
    <x v="15"/>
    <n v="10"/>
    <n v="1575"/>
    <n v="15750"/>
  </r>
  <r>
    <x v="181"/>
    <x v="111"/>
    <s v="CUST-0016"/>
    <x v="1"/>
    <x v="1"/>
    <x v="3"/>
    <x v="8"/>
    <n v="8"/>
    <n v="1710"/>
    <n v="13680"/>
  </r>
  <r>
    <x v="182"/>
    <x v="112"/>
    <s v="CUST-0055"/>
    <x v="1"/>
    <x v="1"/>
    <x v="3"/>
    <x v="11"/>
    <n v="3"/>
    <n v="1800"/>
    <n v="5400"/>
  </r>
  <r>
    <x v="183"/>
    <x v="113"/>
    <s v="CUST-0063"/>
    <x v="11"/>
    <x v="5"/>
    <x v="0"/>
    <x v="0"/>
    <n v="4"/>
    <n v="120"/>
    <n v="480"/>
  </r>
  <r>
    <x v="184"/>
    <x v="114"/>
    <s v="CUST-0006"/>
    <x v="6"/>
    <x v="3"/>
    <x v="2"/>
    <x v="3"/>
    <n v="4"/>
    <n v="6175"/>
    <n v="24700"/>
  </r>
  <r>
    <x v="185"/>
    <x v="114"/>
    <s v="CUST-0031"/>
    <x v="11"/>
    <x v="5"/>
    <x v="1"/>
    <x v="12"/>
    <n v="1"/>
    <n v="120"/>
    <n v="120"/>
  </r>
  <r>
    <x v="186"/>
    <x v="115"/>
    <s v="CUST-0013"/>
    <x v="6"/>
    <x v="3"/>
    <x v="2"/>
    <x v="3"/>
    <n v="3"/>
    <n v="6825"/>
    <n v="20475"/>
  </r>
  <r>
    <x v="187"/>
    <x v="115"/>
    <s v="CUST-0024"/>
    <x v="8"/>
    <x v="1"/>
    <x v="0"/>
    <x v="13"/>
    <n v="5"/>
    <n v="900"/>
    <n v="4500"/>
  </r>
  <r>
    <x v="188"/>
    <x v="115"/>
    <s v="CUST-0047"/>
    <x v="12"/>
    <x v="5"/>
    <x v="1"/>
    <x v="6"/>
    <n v="2"/>
    <n v="76"/>
    <n v="152"/>
  </r>
  <r>
    <x v="189"/>
    <x v="116"/>
    <s v="CUST-0021"/>
    <x v="0"/>
    <x v="0"/>
    <x v="3"/>
    <x v="8"/>
    <n v="4"/>
    <n v="2660"/>
    <n v="10640"/>
  </r>
  <r>
    <x v="190"/>
    <x v="117"/>
    <s v="CUST-0007"/>
    <x v="6"/>
    <x v="3"/>
    <x v="3"/>
    <x v="5"/>
    <n v="3"/>
    <n v="6175"/>
    <n v="18525"/>
  </r>
  <r>
    <x v="191"/>
    <x v="118"/>
    <s v="CUST-0048"/>
    <x v="15"/>
    <x v="4"/>
    <x v="2"/>
    <x v="3"/>
    <n v="3"/>
    <n v="1100"/>
    <n v="3300"/>
  </r>
  <r>
    <x v="192"/>
    <x v="119"/>
    <s v="CUST-0011"/>
    <x v="0"/>
    <x v="0"/>
    <x v="3"/>
    <x v="5"/>
    <n v="4"/>
    <n v="2660"/>
    <n v="10640"/>
  </r>
  <r>
    <x v="193"/>
    <x v="120"/>
    <s v="CUST-0046"/>
    <x v="15"/>
    <x v="4"/>
    <x v="0"/>
    <x v="0"/>
    <n v="3"/>
    <n v="1100"/>
    <n v="3300"/>
  </r>
  <r>
    <x v="194"/>
    <x v="121"/>
    <s v="CUST-0063"/>
    <x v="12"/>
    <x v="5"/>
    <x v="0"/>
    <x v="9"/>
    <n v="3"/>
    <n v="80"/>
    <n v="240"/>
  </r>
  <r>
    <x v="195"/>
    <x v="122"/>
    <s v="CUST-0009"/>
    <x v="1"/>
    <x v="1"/>
    <x v="1"/>
    <x v="12"/>
    <n v="2"/>
    <n v="1800"/>
    <n v="3600"/>
  </r>
  <r>
    <x v="196"/>
    <x v="123"/>
    <s v="CUST-0063"/>
    <x v="14"/>
    <x v="0"/>
    <x v="1"/>
    <x v="12"/>
    <n v="3"/>
    <n v="3360"/>
    <n v="10080"/>
  </r>
  <r>
    <x v="197"/>
    <x v="123"/>
    <s v="CUST-0011"/>
    <x v="10"/>
    <x v="0"/>
    <x v="1"/>
    <x v="14"/>
    <n v="4"/>
    <n v="10500"/>
    <n v="42000"/>
  </r>
  <r>
    <x v="198"/>
    <x v="123"/>
    <s v="CUST-0018"/>
    <x v="6"/>
    <x v="3"/>
    <x v="2"/>
    <x v="3"/>
    <n v="1"/>
    <n v="6175"/>
    <n v="6175"/>
  </r>
  <r>
    <x v="199"/>
    <x v="123"/>
    <s v="CUST-0004"/>
    <x v="11"/>
    <x v="5"/>
    <x v="3"/>
    <x v="5"/>
    <n v="3"/>
    <n v="126"/>
    <n v="378"/>
  </r>
  <r>
    <x v="200"/>
    <x v="124"/>
    <s v="CUST-0016"/>
    <x v="11"/>
    <x v="5"/>
    <x v="3"/>
    <x v="5"/>
    <n v="1"/>
    <n v="126"/>
    <n v="126"/>
  </r>
  <r>
    <x v="201"/>
    <x v="124"/>
    <s v="CUST-0064"/>
    <x v="15"/>
    <x v="4"/>
    <x v="3"/>
    <x v="7"/>
    <n v="1"/>
    <n v="1045"/>
    <n v="1045"/>
  </r>
  <r>
    <x v="202"/>
    <x v="125"/>
    <s v="CUST-0061"/>
    <x v="4"/>
    <x v="3"/>
    <x v="2"/>
    <x v="15"/>
    <n v="4"/>
    <n v="700"/>
    <n v="2800"/>
  </r>
  <r>
    <x v="203"/>
    <x v="126"/>
    <s v="CUST-0036"/>
    <x v="2"/>
    <x v="0"/>
    <x v="1"/>
    <x v="6"/>
    <n v="3"/>
    <n v="2400"/>
    <n v="7200"/>
  </r>
  <r>
    <x v="204"/>
    <x v="126"/>
    <s v="CUST-0080"/>
    <x v="2"/>
    <x v="0"/>
    <x v="0"/>
    <x v="9"/>
    <n v="1"/>
    <n v="2400"/>
    <n v="2400"/>
  </r>
  <r>
    <x v="205"/>
    <x v="127"/>
    <s v="CUST-0061"/>
    <x v="6"/>
    <x v="3"/>
    <x v="1"/>
    <x v="12"/>
    <n v="6"/>
    <n v="6500"/>
    <n v="39000"/>
  </r>
  <r>
    <x v="206"/>
    <x v="128"/>
    <s v="CUST-0067"/>
    <x v="8"/>
    <x v="1"/>
    <x v="0"/>
    <x v="0"/>
    <n v="10"/>
    <n v="900"/>
    <n v="9000"/>
  </r>
  <r>
    <x v="207"/>
    <x v="129"/>
    <s v="CUST-0072"/>
    <x v="4"/>
    <x v="3"/>
    <x v="2"/>
    <x v="10"/>
    <n v="8"/>
    <n v="700"/>
    <n v="5600"/>
  </r>
  <r>
    <x v="208"/>
    <x v="130"/>
    <s v="CUST-0079"/>
    <x v="7"/>
    <x v="2"/>
    <x v="3"/>
    <x v="5"/>
    <n v="2"/>
    <n v="1500"/>
    <n v="3000"/>
  </r>
  <r>
    <x v="209"/>
    <x v="131"/>
    <s v="CUST-0071"/>
    <x v="2"/>
    <x v="0"/>
    <x v="3"/>
    <x v="8"/>
    <n v="1"/>
    <n v="2520"/>
    <n v="2520"/>
  </r>
  <r>
    <x v="210"/>
    <x v="132"/>
    <s v="CUST-0074"/>
    <x v="3"/>
    <x v="2"/>
    <x v="1"/>
    <x v="12"/>
    <n v="2"/>
    <n v="1200"/>
    <n v="2400"/>
  </r>
  <r>
    <x v="211"/>
    <x v="133"/>
    <s v="CUST-0007"/>
    <x v="2"/>
    <x v="0"/>
    <x v="0"/>
    <x v="9"/>
    <n v="1"/>
    <n v="2400"/>
    <n v="2400"/>
  </r>
  <r>
    <x v="212"/>
    <x v="133"/>
    <s v="CUST-0033"/>
    <x v="12"/>
    <x v="5"/>
    <x v="0"/>
    <x v="0"/>
    <n v="4"/>
    <n v="80"/>
    <n v="320"/>
  </r>
  <r>
    <x v="213"/>
    <x v="134"/>
    <s v="CUST-0071"/>
    <x v="2"/>
    <x v="0"/>
    <x v="3"/>
    <x v="5"/>
    <n v="1"/>
    <n v="2280"/>
    <n v="2280"/>
  </r>
  <r>
    <x v="214"/>
    <x v="134"/>
    <s v="CUST-0042"/>
    <x v="4"/>
    <x v="3"/>
    <x v="0"/>
    <x v="13"/>
    <n v="4"/>
    <n v="700"/>
    <n v="2800"/>
  </r>
  <r>
    <x v="215"/>
    <x v="135"/>
    <s v="CUST-0029"/>
    <x v="1"/>
    <x v="1"/>
    <x v="2"/>
    <x v="3"/>
    <n v="4"/>
    <n v="1800"/>
    <n v="7200"/>
  </r>
  <r>
    <x v="216"/>
    <x v="135"/>
    <s v="CUST-0079"/>
    <x v="14"/>
    <x v="0"/>
    <x v="0"/>
    <x v="9"/>
    <n v="1"/>
    <n v="3200"/>
    <n v="3200"/>
  </r>
  <r>
    <x v="217"/>
    <x v="136"/>
    <s v="CUST-0053"/>
    <x v="0"/>
    <x v="0"/>
    <x v="2"/>
    <x v="10"/>
    <n v="1"/>
    <n v="2800"/>
    <n v="2800"/>
  </r>
  <r>
    <x v="218"/>
    <x v="136"/>
    <s v="CUST-0058"/>
    <x v="15"/>
    <x v="4"/>
    <x v="0"/>
    <x v="13"/>
    <n v="3"/>
    <n v="1100"/>
    <n v="3300"/>
  </r>
  <r>
    <x v="219"/>
    <x v="137"/>
    <s v="CUST-0058"/>
    <x v="14"/>
    <x v="0"/>
    <x v="2"/>
    <x v="10"/>
    <n v="5"/>
    <n v="3200"/>
    <n v="16000"/>
  </r>
  <r>
    <x v="220"/>
    <x v="137"/>
    <s v="CUST-0029"/>
    <x v="10"/>
    <x v="0"/>
    <x v="0"/>
    <x v="2"/>
    <n v="2"/>
    <n v="10500"/>
    <n v="21000"/>
  </r>
  <r>
    <x v="221"/>
    <x v="137"/>
    <s v="CUST-0020"/>
    <x v="15"/>
    <x v="4"/>
    <x v="3"/>
    <x v="5"/>
    <n v="1"/>
    <n v="1100"/>
    <n v="1100"/>
  </r>
  <r>
    <x v="222"/>
    <x v="138"/>
    <s v="CUST-0012"/>
    <x v="15"/>
    <x v="4"/>
    <x v="1"/>
    <x v="6"/>
    <n v="2"/>
    <n v="1100"/>
    <n v="2200"/>
  </r>
  <r>
    <x v="223"/>
    <x v="138"/>
    <s v="CUST-0058"/>
    <x v="2"/>
    <x v="0"/>
    <x v="0"/>
    <x v="0"/>
    <n v="4"/>
    <n v="2400"/>
    <n v="9600"/>
  </r>
  <r>
    <x v="224"/>
    <x v="139"/>
    <s v="CUST-0018"/>
    <x v="0"/>
    <x v="0"/>
    <x v="0"/>
    <x v="9"/>
    <n v="2"/>
    <n v="2940"/>
    <n v="5880"/>
  </r>
  <r>
    <x v="225"/>
    <x v="140"/>
    <s v="CUST-0037"/>
    <x v="8"/>
    <x v="1"/>
    <x v="2"/>
    <x v="15"/>
    <n v="8"/>
    <n v="945"/>
    <n v="7560"/>
  </r>
  <r>
    <x v="226"/>
    <x v="140"/>
    <s v="CUST-0011"/>
    <x v="3"/>
    <x v="2"/>
    <x v="3"/>
    <x v="11"/>
    <n v="2"/>
    <n v="1200"/>
    <n v="2400"/>
  </r>
  <r>
    <x v="227"/>
    <x v="140"/>
    <s v="CUST-0038"/>
    <x v="9"/>
    <x v="4"/>
    <x v="1"/>
    <x v="1"/>
    <n v="3"/>
    <n v="6840"/>
    <n v="20520"/>
  </r>
  <r>
    <x v="228"/>
    <x v="141"/>
    <s v="CUST-0024"/>
    <x v="14"/>
    <x v="0"/>
    <x v="0"/>
    <x v="13"/>
    <n v="8"/>
    <n v="3040"/>
    <n v="24320"/>
  </r>
  <r>
    <x v="229"/>
    <x v="142"/>
    <s v="CUST-0069"/>
    <x v="11"/>
    <x v="5"/>
    <x v="0"/>
    <x v="13"/>
    <n v="1"/>
    <n v="126"/>
    <n v="126"/>
  </r>
  <r>
    <x v="230"/>
    <x v="143"/>
    <s v="CUST-0052"/>
    <x v="11"/>
    <x v="5"/>
    <x v="2"/>
    <x v="15"/>
    <n v="4"/>
    <n v="120"/>
    <n v="480"/>
  </r>
  <r>
    <x v="231"/>
    <x v="143"/>
    <s v="CUST-0011"/>
    <x v="13"/>
    <x v="2"/>
    <x v="0"/>
    <x v="2"/>
    <n v="3"/>
    <n v="650"/>
    <n v="1950"/>
  </r>
  <r>
    <x v="232"/>
    <x v="144"/>
    <s v="CUST-0039"/>
    <x v="5"/>
    <x v="2"/>
    <x v="2"/>
    <x v="15"/>
    <n v="8"/>
    <n v="2200"/>
    <n v="17600"/>
  </r>
  <r>
    <x v="233"/>
    <x v="144"/>
    <s v="CUST-0023"/>
    <x v="10"/>
    <x v="0"/>
    <x v="3"/>
    <x v="8"/>
    <n v="2"/>
    <n v="10500"/>
    <n v="21000"/>
  </r>
  <r>
    <x v="234"/>
    <x v="144"/>
    <s v="CUST-0058"/>
    <x v="7"/>
    <x v="2"/>
    <x v="3"/>
    <x v="8"/>
    <n v="1"/>
    <n v="1500"/>
    <n v="1500"/>
  </r>
  <r>
    <x v="235"/>
    <x v="145"/>
    <s v="CUST-0050"/>
    <x v="2"/>
    <x v="0"/>
    <x v="0"/>
    <x v="9"/>
    <n v="4"/>
    <n v="2400"/>
    <n v="9600"/>
  </r>
  <r>
    <x v="236"/>
    <x v="145"/>
    <s v="CUST-0039"/>
    <x v="7"/>
    <x v="2"/>
    <x v="0"/>
    <x v="2"/>
    <n v="5"/>
    <n v="1425"/>
    <n v="7125"/>
  </r>
  <r>
    <x v="237"/>
    <x v="145"/>
    <s v="CUST-0028"/>
    <x v="8"/>
    <x v="1"/>
    <x v="1"/>
    <x v="1"/>
    <n v="3"/>
    <n v="855"/>
    <n v="2565"/>
  </r>
  <r>
    <x v="238"/>
    <x v="146"/>
    <s v="CUST-0051"/>
    <x v="7"/>
    <x v="2"/>
    <x v="0"/>
    <x v="9"/>
    <n v="2"/>
    <n v="1575"/>
    <n v="3150"/>
  </r>
  <r>
    <x v="239"/>
    <x v="147"/>
    <s v="CUST-0026"/>
    <x v="9"/>
    <x v="4"/>
    <x v="0"/>
    <x v="2"/>
    <n v="5"/>
    <n v="7200"/>
    <n v="36000"/>
  </r>
  <r>
    <x v="240"/>
    <x v="147"/>
    <s v="CUST-0042"/>
    <x v="8"/>
    <x v="1"/>
    <x v="3"/>
    <x v="5"/>
    <n v="2"/>
    <n v="945"/>
    <n v="1890"/>
  </r>
  <r>
    <x v="241"/>
    <x v="148"/>
    <s v="CUST-0011"/>
    <x v="9"/>
    <x v="4"/>
    <x v="0"/>
    <x v="2"/>
    <n v="4"/>
    <n v="7560"/>
    <n v="30240"/>
  </r>
  <r>
    <x v="242"/>
    <x v="148"/>
    <s v="CUST-0079"/>
    <x v="1"/>
    <x v="1"/>
    <x v="2"/>
    <x v="15"/>
    <n v="6"/>
    <n v="1800"/>
    <n v="10800"/>
  </r>
  <r>
    <x v="243"/>
    <x v="148"/>
    <s v="CUST-0066"/>
    <x v="7"/>
    <x v="2"/>
    <x v="0"/>
    <x v="9"/>
    <n v="4"/>
    <n v="1575"/>
    <n v="6300"/>
  </r>
  <r>
    <x v="244"/>
    <x v="149"/>
    <s v="CUST-0070"/>
    <x v="9"/>
    <x v="4"/>
    <x v="1"/>
    <x v="12"/>
    <n v="8"/>
    <n v="7200"/>
    <n v="57600"/>
  </r>
  <r>
    <x v="245"/>
    <x v="150"/>
    <s v="CUST-0073"/>
    <x v="3"/>
    <x v="2"/>
    <x v="0"/>
    <x v="13"/>
    <n v="2"/>
    <n v="1260"/>
    <n v="2520"/>
  </r>
  <r>
    <x v="246"/>
    <x v="151"/>
    <s v="CUST-0049"/>
    <x v="2"/>
    <x v="0"/>
    <x v="1"/>
    <x v="12"/>
    <n v="1"/>
    <n v="2400"/>
    <n v="2400"/>
  </r>
  <r>
    <x v="247"/>
    <x v="151"/>
    <s v="CUST-0031"/>
    <x v="4"/>
    <x v="3"/>
    <x v="0"/>
    <x v="9"/>
    <n v="2"/>
    <n v="665"/>
    <n v="1330"/>
  </r>
  <r>
    <x v="248"/>
    <x v="152"/>
    <s v="CUST-0076"/>
    <x v="7"/>
    <x v="2"/>
    <x v="2"/>
    <x v="15"/>
    <n v="2"/>
    <n v="1425"/>
    <n v="2850"/>
  </r>
  <r>
    <x v="249"/>
    <x v="153"/>
    <s v="CUST-0025"/>
    <x v="15"/>
    <x v="4"/>
    <x v="0"/>
    <x v="0"/>
    <n v="6"/>
    <n v="1100"/>
    <n v="6600"/>
  </r>
  <r>
    <x v="250"/>
    <x v="154"/>
    <s v="CUST-0031"/>
    <x v="1"/>
    <x v="1"/>
    <x v="0"/>
    <x v="9"/>
    <n v="1"/>
    <n v="1800"/>
    <n v="1800"/>
  </r>
  <r>
    <x v="251"/>
    <x v="155"/>
    <s v="CUST-0032"/>
    <x v="8"/>
    <x v="1"/>
    <x v="0"/>
    <x v="2"/>
    <n v="3"/>
    <n v="900"/>
    <n v="2700"/>
  </r>
  <r>
    <x v="252"/>
    <x v="155"/>
    <s v="CUST-0070"/>
    <x v="14"/>
    <x v="0"/>
    <x v="3"/>
    <x v="8"/>
    <n v="4"/>
    <n v="3200"/>
    <n v="12800"/>
  </r>
  <r>
    <x v="253"/>
    <x v="156"/>
    <s v="CUST-0008"/>
    <x v="11"/>
    <x v="5"/>
    <x v="3"/>
    <x v="5"/>
    <n v="2"/>
    <n v="126"/>
    <n v="252"/>
  </r>
  <r>
    <x v="254"/>
    <x v="156"/>
    <s v="CUST-0070"/>
    <x v="4"/>
    <x v="3"/>
    <x v="0"/>
    <x v="0"/>
    <n v="2"/>
    <n v="665"/>
    <n v="1330"/>
  </r>
  <r>
    <x v="255"/>
    <x v="157"/>
    <s v="CUST-0021"/>
    <x v="8"/>
    <x v="1"/>
    <x v="0"/>
    <x v="13"/>
    <n v="8"/>
    <n v="900"/>
    <n v="7200"/>
  </r>
  <r>
    <x v="256"/>
    <x v="157"/>
    <s v="CUST-0045"/>
    <x v="12"/>
    <x v="5"/>
    <x v="3"/>
    <x v="11"/>
    <n v="3"/>
    <n v="80"/>
    <n v="240"/>
  </r>
  <r>
    <x v="257"/>
    <x v="158"/>
    <s v="CUST-0007"/>
    <x v="7"/>
    <x v="2"/>
    <x v="3"/>
    <x v="7"/>
    <n v="2"/>
    <n v="1500"/>
    <n v="3000"/>
  </r>
  <r>
    <x v="258"/>
    <x v="159"/>
    <s v="CUST-0044"/>
    <x v="3"/>
    <x v="2"/>
    <x v="1"/>
    <x v="6"/>
    <n v="4"/>
    <n v="1140"/>
    <n v="4560"/>
  </r>
  <r>
    <x v="259"/>
    <x v="159"/>
    <s v="CUST-0011"/>
    <x v="1"/>
    <x v="1"/>
    <x v="0"/>
    <x v="13"/>
    <n v="4"/>
    <n v="1800"/>
    <n v="7200"/>
  </r>
  <r>
    <x v="260"/>
    <x v="160"/>
    <s v="CUST-0043"/>
    <x v="2"/>
    <x v="0"/>
    <x v="1"/>
    <x v="1"/>
    <n v="2"/>
    <n v="2400"/>
    <n v="4800"/>
  </r>
  <r>
    <x v="261"/>
    <x v="161"/>
    <s v="CUST-0068"/>
    <x v="0"/>
    <x v="0"/>
    <x v="1"/>
    <x v="6"/>
    <n v="5"/>
    <n v="2940"/>
    <n v="14700"/>
  </r>
  <r>
    <x v="262"/>
    <x v="162"/>
    <s v="CUST-0048"/>
    <x v="7"/>
    <x v="2"/>
    <x v="0"/>
    <x v="0"/>
    <n v="3"/>
    <n v="1500"/>
    <n v="4500"/>
  </r>
  <r>
    <x v="263"/>
    <x v="162"/>
    <s v="CUST-0007"/>
    <x v="4"/>
    <x v="3"/>
    <x v="2"/>
    <x v="4"/>
    <n v="1"/>
    <n v="700"/>
    <n v="700"/>
  </r>
  <r>
    <x v="264"/>
    <x v="162"/>
    <s v="CUST-0079"/>
    <x v="9"/>
    <x v="4"/>
    <x v="3"/>
    <x v="5"/>
    <n v="1"/>
    <n v="7560"/>
    <n v="7560"/>
  </r>
  <r>
    <x v="265"/>
    <x v="162"/>
    <s v="CUST-0075"/>
    <x v="4"/>
    <x v="3"/>
    <x v="3"/>
    <x v="7"/>
    <n v="8"/>
    <n v="735"/>
    <n v="5880"/>
  </r>
  <r>
    <x v="266"/>
    <x v="163"/>
    <s v="CUST-0031"/>
    <x v="9"/>
    <x v="4"/>
    <x v="2"/>
    <x v="10"/>
    <n v="2"/>
    <n v="7200"/>
    <n v="14400"/>
  </r>
  <r>
    <x v="267"/>
    <x v="163"/>
    <s v="CUST-0011"/>
    <x v="10"/>
    <x v="0"/>
    <x v="1"/>
    <x v="12"/>
    <n v="8"/>
    <n v="10500"/>
    <n v="84000"/>
  </r>
  <r>
    <x v="268"/>
    <x v="164"/>
    <s v="CUST-0041"/>
    <x v="12"/>
    <x v="5"/>
    <x v="1"/>
    <x v="1"/>
    <n v="5"/>
    <n v="84"/>
    <n v="420"/>
  </r>
  <r>
    <x v="269"/>
    <x v="164"/>
    <s v="CUST-0032"/>
    <x v="14"/>
    <x v="0"/>
    <x v="0"/>
    <x v="2"/>
    <n v="3"/>
    <n v="3360"/>
    <n v="10080"/>
  </r>
  <r>
    <x v="270"/>
    <x v="164"/>
    <s v="CUST-0018"/>
    <x v="0"/>
    <x v="0"/>
    <x v="2"/>
    <x v="4"/>
    <n v="1"/>
    <n v="2940"/>
    <n v="2940"/>
  </r>
  <r>
    <x v="271"/>
    <x v="164"/>
    <s v="CUST-0071"/>
    <x v="6"/>
    <x v="3"/>
    <x v="0"/>
    <x v="2"/>
    <n v="4"/>
    <n v="6500"/>
    <n v="26000"/>
  </r>
  <r>
    <x v="272"/>
    <x v="165"/>
    <s v="CUST-0001"/>
    <x v="0"/>
    <x v="0"/>
    <x v="3"/>
    <x v="11"/>
    <n v="6"/>
    <n v="2660"/>
    <n v="15960"/>
  </r>
  <r>
    <x v="273"/>
    <x v="166"/>
    <s v="CUST-0041"/>
    <x v="9"/>
    <x v="4"/>
    <x v="3"/>
    <x v="5"/>
    <n v="1"/>
    <n v="7560"/>
    <n v="7560"/>
  </r>
  <r>
    <x v="274"/>
    <x v="166"/>
    <s v="CUST-0045"/>
    <x v="7"/>
    <x v="2"/>
    <x v="1"/>
    <x v="1"/>
    <n v="2"/>
    <n v="1425"/>
    <n v="2850"/>
  </r>
  <r>
    <x v="275"/>
    <x v="167"/>
    <s v="CUST-0063"/>
    <x v="10"/>
    <x v="0"/>
    <x v="0"/>
    <x v="13"/>
    <n v="1"/>
    <n v="10500"/>
    <n v="10500"/>
  </r>
  <r>
    <x v="276"/>
    <x v="168"/>
    <s v="CUST-0056"/>
    <x v="7"/>
    <x v="2"/>
    <x v="0"/>
    <x v="2"/>
    <n v="2"/>
    <n v="1500"/>
    <n v="3000"/>
  </r>
  <r>
    <x v="277"/>
    <x v="168"/>
    <s v="CUST-0010"/>
    <x v="14"/>
    <x v="0"/>
    <x v="1"/>
    <x v="14"/>
    <n v="6"/>
    <n v="3360"/>
    <n v="20160"/>
  </r>
  <r>
    <x v="278"/>
    <x v="169"/>
    <s v="CUST-0009"/>
    <x v="9"/>
    <x v="4"/>
    <x v="2"/>
    <x v="3"/>
    <n v="1"/>
    <n v="6840"/>
    <n v="6840"/>
  </r>
  <r>
    <x v="279"/>
    <x v="170"/>
    <s v="CUST-0057"/>
    <x v="7"/>
    <x v="2"/>
    <x v="2"/>
    <x v="15"/>
    <n v="3"/>
    <n v="1500"/>
    <n v="4500"/>
  </r>
  <r>
    <x v="280"/>
    <x v="171"/>
    <s v="CUST-0010"/>
    <x v="12"/>
    <x v="5"/>
    <x v="3"/>
    <x v="5"/>
    <n v="1"/>
    <n v="80"/>
    <n v="80"/>
  </r>
  <r>
    <x v="281"/>
    <x v="172"/>
    <s v="CUST-0038"/>
    <x v="13"/>
    <x v="2"/>
    <x v="3"/>
    <x v="8"/>
    <n v="3"/>
    <n v="682.5"/>
    <n v="2047.5"/>
  </r>
  <r>
    <x v="282"/>
    <x v="173"/>
    <s v="CUST-0002"/>
    <x v="8"/>
    <x v="1"/>
    <x v="1"/>
    <x v="6"/>
    <n v="6"/>
    <n v="900"/>
    <n v="5400"/>
  </r>
  <r>
    <x v="283"/>
    <x v="174"/>
    <s v="CUST-0047"/>
    <x v="14"/>
    <x v="0"/>
    <x v="0"/>
    <x v="2"/>
    <n v="1"/>
    <n v="3200"/>
    <n v="3200"/>
  </r>
  <r>
    <x v="284"/>
    <x v="174"/>
    <s v="CUST-0067"/>
    <x v="0"/>
    <x v="0"/>
    <x v="3"/>
    <x v="5"/>
    <n v="3"/>
    <n v="2800"/>
    <n v="8400"/>
  </r>
  <r>
    <x v="285"/>
    <x v="175"/>
    <s v="CUST-0071"/>
    <x v="1"/>
    <x v="1"/>
    <x v="0"/>
    <x v="0"/>
    <n v="4"/>
    <n v="1800"/>
    <n v="7200"/>
  </r>
  <r>
    <x v="286"/>
    <x v="175"/>
    <s v="CUST-0032"/>
    <x v="12"/>
    <x v="5"/>
    <x v="1"/>
    <x v="14"/>
    <n v="3"/>
    <n v="80"/>
    <n v="240"/>
  </r>
  <r>
    <x v="287"/>
    <x v="176"/>
    <s v="CUST-0059"/>
    <x v="4"/>
    <x v="3"/>
    <x v="0"/>
    <x v="2"/>
    <n v="2"/>
    <n v="700"/>
    <n v="1400"/>
  </r>
  <r>
    <x v="288"/>
    <x v="176"/>
    <s v="CUST-0048"/>
    <x v="15"/>
    <x v="4"/>
    <x v="0"/>
    <x v="9"/>
    <n v="4"/>
    <n v="1100"/>
    <n v="4400"/>
  </r>
  <r>
    <x v="289"/>
    <x v="177"/>
    <s v="CUST-0031"/>
    <x v="0"/>
    <x v="0"/>
    <x v="2"/>
    <x v="3"/>
    <n v="6"/>
    <n v="2800"/>
    <n v="16800"/>
  </r>
  <r>
    <x v="290"/>
    <x v="178"/>
    <s v="CUST-0059"/>
    <x v="7"/>
    <x v="2"/>
    <x v="1"/>
    <x v="12"/>
    <n v="2"/>
    <n v="1500"/>
    <n v="3000"/>
  </r>
  <r>
    <x v="291"/>
    <x v="178"/>
    <s v="CUST-0017"/>
    <x v="14"/>
    <x v="0"/>
    <x v="0"/>
    <x v="9"/>
    <n v="8"/>
    <n v="3200"/>
    <n v="25600"/>
  </r>
  <r>
    <x v="292"/>
    <x v="179"/>
    <s v="CUST-0062"/>
    <x v="8"/>
    <x v="1"/>
    <x v="3"/>
    <x v="8"/>
    <n v="1"/>
    <n v="855"/>
    <n v="855"/>
  </r>
  <r>
    <x v="293"/>
    <x v="180"/>
    <s v="CUST-0030"/>
    <x v="14"/>
    <x v="0"/>
    <x v="0"/>
    <x v="13"/>
    <n v="3"/>
    <n v="3200"/>
    <n v="9600"/>
  </r>
  <r>
    <x v="294"/>
    <x v="181"/>
    <s v="CUST-0012"/>
    <x v="9"/>
    <x v="4"/>
    <x v="0"/>
    <x v="13"/>
    <n v="6"/>
    <n v="7200"/>
    <n v="43200"/>
  </r>
  <r>
    <x v="295"/>
    <x v="181"/>
    <s v="CUST-0045"/>
    <x v="10"/>
    <x v="0"/>
    <x v="2"/>
    <x v="3"/>
    <n v="2"/>
    <n v="10500"/>
    <n v="21000"/>
  </r>
  <r>
    <x v="296"/>
    <x v="181"/>
    <s v="CUST-0017"/>
    <x v="1"/>
    <x v="1"/>
    <x v="3"/>
    <x v="5"/>
    <n v="5"/>
    <n v="1800"/>
    <n v="9000"/>
  </r>
  <r>
    <x v="297"/>
    <x v="181"/>
    <s v="CUST-0023"/>
    <x v="0"/>
    <x v="0"/>
    <x v="0"/>
    <x v="0"/>
    <n v="3"/>
    <n v="2800"/>
    <n v="8400"/>
  </r>
  <r>
    <x v="298"/>
    <x v="182"/>
    <s v="CUST-0061"/>
    <x v="2"/>
    <x v="0"/>
    <x v="1"/>
    <x v="6"/>
    <n v="1"/>
    <n v="2520"/>
    <n v="2520"/>
  </r>
  <r>
    <x v="299"/>
    <x v="183"/>
    <s v="CUST-0009"/>
    <x v="14"/>
    <x v="0"/>
    <x v="1"/>
    <x v="1"/>
    <n v="1"/>
    <n v="3360"/>
    <n v="3360"/>
  </r>
  <r>
    <x v="300"/>
    <x v="183"/>
    <s v="CUST-0015"/>
    <x v="1"/>
    <x v="1"/>
    <x v="0"/>
    <x v="9"/>
    <n v="2"/>
    <n v="1890"/>
    <n v="3780"/>
  </r>
  <r>
    <x v="301"/>
    <x v="183"/>
    <s v="CUST-0011"/>
    <x v="10"/>
    <x v="0"/>
    <x v="3"/>
    <x v="5"/>
    <n v="2"/>
    <n v="10500"/>
    <n v="21000"/>
  </r>
  <r>
    <x v="302"/>
    <x v="184"/>
    <s v="CUST-0054"/>
    <x v="12"/>
    <x v="5"/>
    <x v="2"/>
    <x v="15"/>
    <n v="4"/>
    <n v="76"/>
    <n v="304"/>
  </r>
  <r>
    <x v="303"/>
    <x v="185"/>
    <s v="CUST-0035"/>
    <x v="11"/>
    <x v="5"/>
    <x v="3"/>
    <x v="11"/>
    <n v="1"/>
    <n v="120"/>
    <n v="120"/>
  </r>
  <r>
    <x v="304"/>
    <x v="186"/>
    <s v="CUST-0080"/>
    <x v="7"/>
    <x v="2"/>
    <x v="1"/>
    <x v="12"/>
    <n v="10"/>
    <n v="1500"/>
    <n v="15000"/>
  </r>
  <r>
    <x v="305"/>
    <x v="186"/>
    <s v="CUST-0047"/>
    <x v="13"/>
    <x v="2"/>
    <x v="3"/>
    <x v="5"/>
    <n v="5"/>
    <n v="650"/>
    <n v="3250"/>
  </r>
  <r>
    <x v="306"/>
    <x v="187"/>
    <s v="CUST-0066"/>
    <x v="14"/>
    <x v="0"/>
    <x v="2"/>
    <x v="4"/>
    <n v="2"/>
    <n v="3200"/>
    <n v="6400"/>
  </r>
  <r>
    <x v="307"/>
    <x v="188"/>
    <s v="CUST-0067"/>
    <x v="0"/>
    <x v="0"/>
    <x v="2"/>
    <x v="10"/>
    <n v="4"/>
    <n v="2800"/>
    <n v="11200"/>
  </r>
  <r>
    <x v="308"/>
    <x v="188"/>
    <s v="CUST-0062"/>
    <x v="2"/>
    <x v="0"/>
    <x v="3"/>
    <x v="5"/>
    <n v="3"/>
    <n v="2400"/>
    <n v="7200"/>
  </r>
  <r>
    <x v="309"/>
    <x v="188"/>
    <s v="CUST-0030"/>
    <x v="0"/>
    <x v="0"/>
    <x v="3"/>
    <x v="5"/>
    <n v="4"/>
    <n v="2660"/>
    <n v="10640"/>
  </r>
  <r>
    <x v="310"/>
    <x v="189"/>
    <s v="CUST-0065"/>
    <x v="3"/>
    <x v="2"/>
    <x v="1"/>
    <x v="6"/>
    <n v="4"/>
    <n v="1140"/>
    <n v="4560"/>
  </r>
  <r>
    <x v="311"/>
    <x v="189"/>
    <s v="CUST-0012"/>
    <x v="3"/>
    <x v="2"/>
    <x v="2"/>
    <x v="3"/>
    <n v="3"/>
    <n v="1200"/>
    <n v="3600"/>
  </r>
  <r>
    <x v="312"/>
    <x v="189"/>
    <s v="CUST-0037"/>
    <x v="3"/>
    <x v="2"/>
    <x v="0"/>
    <x v="9"/>
    <n v="8"/>
    <n v="1140"/>
    <n v="9120"/>
  </r>
  <r>
    <x v="313"/>
    <x v="190"/>
    <s v="CUST-0005"/>
    <x v="0"/>
    <x v="0"/>
    <x v="3"/>
    <x v="5"/>
    <n v="10"/>
    <n v="2660"/>
    <n v="26600"/>
  </r>
  <r>
    <x v="314"/>
    <x v="191"/>
    <s v="CUST-0060"/>
    <x v="13"/>
    <x v="2"/>
    <x v="0"/>
    <x v="0"/>
    <n v="2"/>
    <n v="650"/>
    <n v="1300"/>
  </r>
  <r>
    <x v="315"/>
    <x v="191"/>
    <s v="CUST-0016"/>
    <x v="12"/>
    <x v="5"/>
    <x v="3"/>
    <x v="5"/>
    <n v="1"/>
    <n v="80"/>
    <n v="80"/>
  </r>
  <r>
    <x v="316"/>
    <x v="192"/>
    <s v="CUST-0037"/>
    <x v="14"/>
    <x v="0"/>
    <x v="0"/>
    <x v="2"/>
    <n v="2"/>
    <n v="3200"/>
    <n v="6400"/>
  </r>
  <r>
    <x v="317"/>
    <x v="193"/>
    <s v="CUST-0070"/>
    <x v="12"/>
    <x v="5"/>
    <x v="1"/>
    <x v="1"/>
    <n v="3"/>
    <n v="76"/>
    <n v="228"/>
  </r>
  <r>
    <x v="318"/>
    <x v="193"/>
    <s v="CUST-0036"/>
    <x v="10"/>
    <x v="0"/>
    <x v="3"/>
    <x v="7"/>
    <n v="2"/>
    <n v="11025"/>
    <n v="22050"/>
  </r>
  <r>
    <x v="319"/>
    <x v="193"/>
    <s v="CUST-0074"/>
    <x v="11"/>
    <x v="5"/>
    <x v="3"/>
    <x v="8"/>
    <n v="2"/>
    <n v="120"/>
    <n v="240"/>
  </r>
  <r>
    <x v="320"/>
    <x v="193"/>
    <s v="CUST-0051"/>
    <x v="10"/>
    <x v="0"/>
    <x v="1"/>
    <x v="12"/>
    <n v="3"/>
    <n v="9975"/>
    <n v="29925"/>
  </r>
  <r>
    <x v="321"/>
    <x v="194"/>
    <s v="CUST-0030"/>
    <x v="6"/>
    <x v="3"/>
    <x v="1"/>
    <x v="14"/>
    <n v="3"/>
    <n v="6175"/>
    <n v="18525"/>
  </r>
  <r>
    <x v="322"/>
    <x v="194"/>
    <s v="CUST-0027"/>
    <x v="10"/>
    <x v="0"/>
    <x v="3"/>
    <x v="5"/>
    <n v="2"/>
    <n v="11025"/>
    <n v="22050"/>
  </r>
  <r>
    <x v="323"/>
    <x v="194"/>
    <s v="CUST-0049"/>
    <x v="12"/>
    <x v="5"/>
    <x v="2"/>
    <x v="3"/>
    <n v="2"/>
    <n v="80"/>
    <n v="160"/>
  </r>
  <r>
    <x v="324"/>
    <x v="194"/>
    <s v="CUST-0080"/>
    <x v="11"/>
    <x v="5"/>
    <x v="0"/>
    <x v="9"/>
    <n v="2"/>
    <n v="126"/>
    <n v="252"/>
  </r>
  <r>
    <x v="325"/>
    <x v="195"/>
    <s v="CUST-0054"/>
    <x v="15"/>
    <x v="4"/>
    <x v="0"/>
    <x v="0"/>
    <n v="1"/>
    <n v="1100"/>
    <n v="1100"/>
  </r>
  <r>
    <x v="326"/>
    <x v="196"/>
    <s v="CUST-0039"/>
    <x v="8"/>
    <x v="1"/>
    <x v="1"/>
    <x v="6"/>
    <n v="6"/>
    <n v="900"/>
    <n v="5400"/>
  </r>
  <r>
    <x v="327"/>
    <x v="196"/>
    <s v="CUST-0007"/>
    <x v="8"/>
    <x v="1"/>
    <x v="2"/>
    <x v="10"/>
    <n v="4"/>
    <n v="900"/>
    <n v="3600"/>
  </r>
  <r>
    <x v="328"/>
    <x v="197"/>
    <s v="CUST-0024"/>
    <x v="13"/>
    <x v="2"/>
    <x v="3"/>
    <x v="11"/>
    <n v="1"/>
    <n v="650"/>
    <n v="650"/>
  </r>
  <r>
    <x v="329"/>
    <x v="198"/>
    <s v="CUST-0019"/>
    <x v="8"/>
    <x v="1"/>
    <x v="0"/>
    <x v="13"/>
    <n v="1"/>
    <n v="900"/>
    <n v="900"/>
  </r>
  <r>
    <x v="330"/>
    <x v="198"/>
    <s v="CUST-0017"/>
    <x v="5"/>
    <x v="2"/>
    <x v="1"/>
    <x v="1"/>
    <n v="1"/>
    <n v="2200"/>
    <n v="2200"/>
  </r>
  <r>
    <x v="331"/>
    <x v="199"/>
    <s v="CUST-0063"/>
    <x v="6"/>
    <x v="3"/>
    <x v="2"/>
    <x v="10"/>
    <n v="3"/>
    <n v="6500"/>
    <n v="19500"/>
  </r>
  <r>
    <x v="332"/>
    <x v="200"/>
    <s v="CUST-0007"/>
    <x v="1"/>
    <x v="1"/>
    <x v="2"/>
    <x v="3"/>
    <n v="3"/>
    <n v="1800"/>
    <n v="5400"/>
  </r>
  <r>
    <x v="333"/>
    <x v="200"/>
    <s v="CUST-0004"/>
    <x v="6"/>
    <x v="3"/>
    <x v="1"/>
    <x v="12"/>
    <n v="5"/>
    <n v="6825"/>
    <n v="34125"/>
  </r>
  <r>
    <x v="334"/>
    <x v="200"/>
    <s v="CUST-0032"/>
    <x v="10"/>
    <x v="0"/>
    <x v="2"/>
    <x v="4"/>
    <n v="3"/>
    <n v="10500"/>
    <n v="31500"/>
  </r>
  <r>
    <x v="335"/>
    <x v="201"/>
    <s v="CUST-0019"/>
    <x v="8"/>
    <x v="1"/>
    <x v="3"/>
    <x v="5"/>
    <n v="3"/>
    <n v="900"/>
    <n v="2700"/>
  </r>
  <r>
    <x v="336"/>
    <x v="202"/>
    <s v="CUST-0047"/>
    <x v="0"/>
    <x v="0"/>
    <x v="1"/>
    <x v="1"/>
    <n v="2"/>
    <n v="2800"/>
    <n v="5600"/>
  </r>
  <r>
    <x v="337"/>
    <x v="202"/>
    <s v="CUST-0032"/>
    <x v="3"/>
    <x v="2"/>
    <x v="2"/>
    <x v="15"/>
    <n v="1"/>
    <n v="1260"/>
    <n v="1260"/>
  </r>
  <r>
    <x v="338"/>
    <x v="202"/>
    <s v="CUST-0064"/>
    <x v="8"/>
    <x v="1"/>
    <x v="0"/>
    <x v="13"/>
    <n v="1"/>
    <n v="900"/>
    <n v="900"/>
  </r>
  <r>
    <x v="339"/>
    <x v="203"/>
    <s v="CUST-0078"/>
    <x v="3"/>
    <x v="2"/>
    <x v="3"/>
    <x v="5"/>
    <n v="2"/>
    <n v="1260"/>
    <n v="2520"/>
  </r>
  <r>
    <x v="340"/>
    <x v="203"/>
    <s v="CUST-0009"/>
    <x v="13"/>
    <x v="2"/>
    <x v="0"/>
    <x v="0"/>
    <n v="6"/>
    <n v="617.5"/>
    <n v="3705"/>
  </r>
  <r>
    <x v="341"/>
    <x v="204"/>
    <s v="CUST-0037"/>
    <x v="2"/>
    <x v="0"/>
    <x v="0"/>
    <x v="13"/>
    <n v="1"/>
    <n v="2400"/>
    <n v="2400"/>
  </r>
  <r>
    <x v="342"/>
    <x v="205"/>
    <s v="CUST-0044"/>
    <x v="4"/>
    <x v="3"/>
    <x v="3"/>
    <x v="11"/>
    <n v="5"/>
    <n v="665"/>
    <n v="3325"/>
  </r>
  <r>
    <x v="343"/>
    <x v="206"/>
    <s v="CUST-0040"/>
    <x v="5"/>
    <x v="2"/>
    <x v="1"/>
    <x v="1"/>
    <n v="4"/>
    <n v="2200"/>
    <n v="8800"/>
  </r>
  <r>
    <x v="344"/>
    <x v="207"/>
    <s v="CUST-0045"/>
    <x v="6"/>
    <x v="3"/>
    <x v="1"/>
    <x v="14"/>
    <n v="1"/>
    <n v="6500"/>
    <n v="6500"/>
  </r>
  <r>
    <x v="345"/>
    <x v="207"/>
    <s v="CUST-0058"/>
    <x v="4"/>
    <x v="3"/>
    <x v="1"/>
    <x v="12"/>
    <n v="2"/>
    <n v="700"/>
    <n v="1400"/>
  </r>
  <r>
    <x v="346"/>
    <x v="208"/>
    <s v="CUST-0073"/>
    <x v="5"/>
    <x v="2"/>
    <x v="0"/>
    <x v="9"/>
    <n v="4"/>
    <n v="2200"/>
    <n v="8800"/>
  </r>
  <r>
    <x v="347"/>
    <x v="209"/>
    <s v="CUST-0069"/>
    <x v="9"/>
    <x v="4"/>
    <x v="1"/>
    <x v="14"/>
    <n v="3"/>
    <n v="7560"/>
    <n v="22680"/>
  </r>
  <r>
    <x v="348"/>
    <x v="209"/>
    <s v="CUST-0031"/>
    <x v="4"/>
    <x v="3"/>
    <x v="3"/>
    <x v="7"/>
    <n v="3"/>
    <n v="735"/>
    <n v="2205"/>
  </r>
  <r>
    <x v="349"/>
    <x v="210"/>
    <s v="CUST-0012"/>
    <x v="3"/>
    <x v="2"/>
    <x v="2"/>
    <x v="15"/>
    <n v="6"/>
    <n v="1200"/>
    <n v="7200"/>
  </r>
  <r>
    <x v="350"/>
    <x v="211"/>
    <s v="CUST-0006"/>
    <x v="12"/>
    <x v="5"/>
    <x v="2"/>
    <x v="10"/>
    <n v="1"/>
    <n v="80"/>
    <n v="80"/>
  </r>
  <r>
    <x v="351"/>
    <x v="211"/>
    <s v="CUST-0043"/>
    <x v="11"/>
    <x v="5"/>
    <x v="1"/>
    <x v="1"/>
    <n v="3"/>
    <n v="114"/>
    <n v="342"/>
  </r>
  <r>
    <x v="352"/>
    <x v="211"/>
    <s v="CUST-0038"/>
    <x v="0"/>
    <x v="0"/>
    <x v="0"/>
    <x v="0"/>
    <n v="3"/>
    <n v="2800"/>
    <n v="8400"/>
  </r>
  <r>
    <x v="353"/>
    <x v="212"/>
    <s v="CUST-0071"/>
    <x v="10"/>
    <x v="0"/>
    <x v="0"/>
    <x v="0"/>
    <n v="6"/>
    <n v="9975"/>
    <n v="59850"/>
  </r>
  <r>
    <x v="354"/>
    <x v="213"/>
    <s v="CUST-0056"/>
    <x v="9"/>
    <x v="4"/>
    <x v="1"/>
    <x v="12"/>
    <n v="2"/>
    <n v="7200"/>
    <n v="14400"/>
  </r>
  <r>
    <x v="355"/>
    <x v="214"/>
    <s v="CUST-0028"/>
    <x v="12"/>
    <x v="5"/>
    <x v="1"/>
    <x v="12"/>
    <n v="8"/>
    <n v="80"/>
    <n v="640"/>
  </r>
  <r>
    <x v="356"/>
    <x v="214"/>
    <s v="CUST-0020"/>
    <x v="13"/>
    <x v="2"/>
    <x v="2"/>
    <x v="3"/>
    <n v="6"/>
    <n v="617.5"/>
    <n v="3705"/>
  </r>
  <r>
    <x v="357"/>
    <x v="215"/>
    <s v="CUST-0002"/>
    <x v="15"/>
    <x v="4"/>
    <x v="1"/>
    <x v="6"/>
    <n v="4"/>
    <n v="1045"/>
    <n v="4180"/>
  </r>
  <r>
    <x v="358"/>
    <x v="216"/>
    <s v="CUST-0022"/>
    <x v="1"/>
    <x v="1"/>
    <x v="3"/>
    <x v="8"/>
    <n v="3"/>
    <n v="1710"/>
    <n v="5130"/>
  </r>
  <r>
    <x v="359"/>
    <x v="217"/>
    <s v="CUST-0017"/>
    <x v="3"/>
    <x v="2"/>
    <x v="1"/>
    <x v="12"/>
    <n v="2"/>
    <n v="1200"/>
    <n v="2400"/>
  </r>
  <r>
    <x v="360"/>
    <x v="217"/>
    <s v="CUST-0041"/>
    <x v="15"/>
    <x v="4"/>
    <x v="0"/>
    <x v="0"/>
    <n v="3"/>
    <n v="1155"/>
    <n v="3465"/>
  </r>
  <r>
    <x v="361"/>
    <x v="217"/>
    <s v="CUST-0052"/>
    <x v="1"/>
    <x v="1"/>
    <x v="0"/>
    <x v="2"/>
    <n v="4"/>
    <n v="1800"/>
    <n v="7200"/>
  </r>
  <r>
    <x v="362"/>
    <x v="218"/>
    <s v="CUST-0032"/>
    <x v="0"/>
    <x v="0"/>
    <x v="0"/>
    <x v="13"/>
    <n v="4"/>
    <n v="2800"/>
    <n v="11200"/>
  </r>
  <r>
    <x v="363"/>
    <x v="219"/>
    <s v="CUST-0046"/>
    <x v="4"/>
    <x v="3"/>
    <x v="0"/>
    <x v="2"/>
    <n v="5"/>
    <n v="700"/>
    <n v="3500"/>
  </r>
  <r>
    <x v="364"/>
    <x v="220"/>
    <s v="CUST-0018"/>
    <x v="7"/>
    <x v="2"/>
    <x v="3"/>
    <x v="8"/>
    <n v="1"/>
    <n v="1500"/>
    <n v="1500"/>
  </r>
  <r>
    <x v="365"/>
    <x v="220"/>
    <s v="CUST-0016"/>
    <x v="14"/>
    <x v="0"/>
    <x v="0"/>
    <x v="9"/>
    <n v="5"/>
    <n v="3200"/>
    <n v="16000"/>
  </r>
  <r>
    <x v="366"/>
    <x v="221"/>
    <s v="CUST-0071"/>
    <x v="5"/>
    <x v="2"/>
    <x v="2"/>
    <x v="3"/>
    <n v="2"/>
    <n v="2310"/>
    <n v="4620"/>
  </r>
  <r>
    <x v="367"/>
    <x v="222"/>
    <s v="CUST-0014"/>
    <x v="13"/>
    <x v="2"/>
    <x v="0"/>
    <x v="13"/>
    <n v="1"/>
    <n v="650"/>
    <n v="650"/>
  </r>
  <r>
    <x v="368"/>
    <x v="223"/>
    <s v="CUST-0059"/>
    <x v="2"/>
    <x v="0"/>
    <x v="3"/>
    <x v="7"/>
    <n v="1"/>
    <n v="2400"/>
    <n v="2400"/>
  </r>
  <r>
    <x v="369"/>
    <x v="224"/>
    <s v="CUST-0064"/>
    <x v="12"/>
    <x v="5"/>
    <x v="1"/>
    <x v="12"/>
    <n v="1"/>
    <n v="76"/>
    <n v="76"/>
  </r>
  <r>
    <x v="370"/>
    <x v="225"/>
    <s v="CUST-0063"/>
    <x v="13"/>
    <x v="2"/>
    <x v="3"/>
    <x v="11"/>
    <n v="8"/>
    <n v="650"/>
    <n v="5200"/>
  </r>
  <r>
    <x v="371"/>
    <x v="226"/>
    <s v="CUST-0059"/>
    <x v="0"/>
    <x v="0"/>
    <x v="0"/>
    <x v="0"/>
    <n v="2"/>
    <n v="2800"/>
    <n v="5600"/>
  </r>
  <r>
    <x v="372"/>
    <x v="226"/>
    <s v="CUST-0057"/>
    <x v="8"/>
    <x v="1"/>
    <x v="0"/>
    <x v="13"/>
    <n v="2"/>
    <n v="900"/>
    <n v="1800"/>
  </r>
  <r>
    <x v="373"/>
    <x v="227"/>
    <s v="CUST-0043"/>
    <x v="2"/>
    <x v="0"/>
    <x v="1"/>
    <x v="6"/>
    <n v="1"/>
    <n v="2520"/>
    <n v="2520"/>
  </r>
  <r>
    <x v="374"/>
    <x v="228"/>
    <s v="CUST-0028"/>
    <x v="15"/>
    <x v="4"/>
    <x v="2"/>
    <x v="10"/>
    <n v="8"/>
    <n v="1100"/>
    <n v="8800"/>
  </r>
  <r>
    <x v="375"/>
    <x v="228"/>
    <s v="CUST-0011"/>
    <x v="8"/>
    <x v="1"/>
    <x v="1"/>
    <x v="14"/>
    <n v="5"/>
    <n v="945"/>
    <n v="4725"/>
  </r>
  <r>
    <x v="376"/>
    <x v="229"/>
    <s v="CUST-0075"/>
    <x v="15"/>
    <x v="4"/>
    <x v="3"/>
    <x v="7"/>
    <n v="1"/>
    <n v="1100"/>
    <n v="1100"/>
  </r>
  <r>
    <x v="377"/>
    <x v="229"/>
    <s v="CUST-0055"/>
    <x v="6"/>
    <x v="3"/>
    <x v="1"/>
    <x v="1"/>
    <n v="2"/>
    <n v="6500"/>
    <n v="13000"/>
  </r>
  <r>
    <x v="378"/>
    <x v="230"/>
    <s v="CUST-0031"/>
    <x v="7"/>
    <x v="2"/>
    <x v="0"/>
    <x v="2"/>
    <n v="2"/>
    <n v="1575"/>
    <n v="3150"/>
  </r>
  <r>
    <x v="379"/>
    <x v="231"/>
    <s v="CUST-0059"/>
    <x v="8"/>
    <x v="1"/>
    <x v="3"/>
    <x v="5"/>
    <n v="1"/>
    <n v="900"/>
    <n v="900"/>
  </r>
  <r>
    <x v="380"/>
    <x v="231"/>
    <s v="CUST-0061"/>
    <x v="6"/>
    <x v="3"/>
    <x v="0"/>
    <x v="9"/>
    <n v="2"/>
    <n v="6175"/>
    <n v="12350"/>
  </r>
  <r>
    <x v="381"/>
    <x v="231"/>
    <s v="CUST-0009"/>
    <x v="3"/>
    <x v="2"/>
    <x v="3"/>
    <x v="8"/>
    <n v="5"/>
    <n v="1200"/>
    <n v="6000"/>
  </r>
  <r>
    <x v="382"/>
    <x v="232"/>
    <s v="CUST-0030"/>
    <x v="3"/>
    <x v="2"/>
    <x v="0"/>
    <x v="13"/>
    <n v="2"/>
    <n v="1140"/>
    <n v="2280"/>
  </r>
  <r>
    <x v="383"/>
    <x v="232"/>
    <s v="CUST-0027"/>
    <x v="3"/>
    <x v="2"/>
    <x v="3"/>
    <x v="11"/>
    <n v="6"/>
    <n v="1200"/>
    <n v="7200"/>
  </r>
  <r>
    <x v="384"/>
    <x v="233"/>
    <s v="CUST-0051"/>
    <x v="11"/>
    <x v="5"/>
    <x v="2"/>
    <x v="15"/>
    <n v="8"/>
    <n v="126"/>
    <n v="1008"/>
  </r>
  <r>
    <x v="385"/>
    <x v="233"/>
    <s v="CUST-0038"/>
    <x v="11"/>
    <x v="5"/>
    <x v="2"/>
    <x v="3"/>
    <n v="6"/>
    <n v="120"/>
    <n v="720"/>
  </r>
  <r>
    <x v="386"/>
    <x v="234"/>
    <s v="CUST-0017"/>
    <x v="7"/>
    <x v="2"/>
    <x v="1"/>
    <x v="12"/>
    <n v="1"/>
    <n v="1500"/>
    <n v="1500"/>
  </r>
  <r>
    <x v="387"/>
    <x v="235"/>
    <s v="CUST-0021"/>
    <x v="8"/>
    <x v="1"/>
    <x v="2"/>
    <x v="4"/>
    <n v="4"/>
    <n v="855"/>
    <n v="3420"/>
  </r>
  <r>
    <x v="388"/>
    <x v="236"/>
    <s v="CUST-0055"/>
    <x v="4"/>
    <x v="3"/>
    <x v="1"/>
    <x v="14"/>
    <n v="3"/>
    <n v="700"/>
    <n v="2100"/>
  </r>
  <r>
    <x v="389"/>
    <x v="237"/>
    <s v="CUST-0021"/>
    <x v="6"/>
    <x v="3"/>
    <x v="0"/>
    <x v="0"/>
    <n v="1"/>
    <n v="6175"/>
    <n v="6175"/>
  </r>
  <r>
    <x v="390"/>
    <x v="237"/>
    <s v="CUST-0023"/>
    <x v="15"/>
    <x v="4"/>
    <x v="2"/>
    <x v="15"/>
    <n v="2"/>
    <n v="1045"/>
    <n v="2090"/>
  </r>
  <r>
    <x v="391"/>
    <x v="238"/>
    <s v="CUST-0036"/>
    <x v="15"/>
    <x v="4"/>
    <x v="2"/>
    <x v="10"/>
    <n v="8"/>
    <n v="1100"/>
    <n v="8800"/>
  </r>
  <r>
    <x v="392"/>
    <x v="239"/>
    <s v="CUST-0018"/>
    <x v="9"/>
    <x v="4"/>
    <x v="1"/>
    <x v="6"/>
    <n v="1"/>
    <n v="7200"/>
    <n v="7200"/>
  </r>
  <r>
    <x v="393"/>
    <x v="240"/>
    <s v="CUST-0025"/>
    <x v="9"/>
    <x v="4"/>
    <x v="3"/>
    <x v="7"/>
    <n v="2"/>
    <n v="7200"/>
    <n v="14400"/>
  </r>
  <r>
    <x v="394"/>
    <x v="240"/>
    <s v="CUST-0063"/>
    <x v="10"/>
    <x v="0"/>
    <x v="3"/>
    <x v="11"/>
    <n v="2"/>
    <n v="10500"/>
    <n v="21000"/>
  </r>
  <r>
    <x v="395"/>
    <x v="241"/>
    <s v="CUST-0071"/>
    <x v="2"/>
    <x v="0"/>
    <x v="1"/>
    <x v="14"/>
    <n v="1"/>
    <n v="2520"/>
    <n v="2520"/>
  </r>
  <r>
    <x v="396"/>
    <x v="242"/>
    <s v="CUST-0017"/>
    <x v="11"/>
    <x v="5"/>
    <x v="0"/>
    <x v="9"/>
    <n v="2"/>
    <n v="120"/>
    <n v="240"/>
  </r>
  <r>
    <x v="397"/>
    <x v="243"/>
    <s v="CUST-0008"/>
    <x v="10"/>
    <x v="0"/>
    <x v="0"/>
    <x v="0"/>
    <n v="1"/>
    <n v="11025"/>
    <n v="11025"/>
  </r>
  <r>
    <x v="398"/>
    <x v="244"/>
    <s v="CUST-0026"/>
    <x v="14"/>
    <x v="0"/>
    <x v="3"/>
    <x v="7"/>
    <n v="5"/>
    <n v="3360"/>
    <n v="16800"/>
  </r>
  <r>
    <x v="399"/>
    <x v="244"/>
    <s v="CUST-0012"/>
    <x v="10"/>
    <x v="0"/>
    <x v="2"/>
    <x v="15"/>
    <n v="4"/>
    <n v="10500"/>
    <n v="4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0CD2AA-CB2E-4388-9A70-3C88A51BB5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C10" firstHeaderRow="0" firstDataRow="1" firstDataCol="1"/>
  <pivotFields count="12">
    <pivotField showAll="0"/>
    <pivotField numFmtId="164"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showAll="0"/>
    <pivotField axis="axisRow" showAll="0">
      <items count="7">
        <item x="2"/>
        <item x="0"/>
        <item x="4"/>
        <item x="1"/>
        <item x="5"/>
        <item x="3"/>
        <item t="default"/>
      </items>
    </pivotField>
    <pivotField showAll="0">
      <items count="5">
        <item x="0"/>
        <item x="1"/>
        <item x="3"/>
        <item x="2"/>
        <item t="default"/>
      </items>
    </pivotField>
    <pivotField showAll="0"/>
    <pivotField dataField="1" showAll="0"/>
    <pivotField numFmtId="165"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Sales Amount (INR)" fld="9" baseField="0" baseItem="0" numFmtId="168"/>
    <dataField name="Sum of Quantity" fld="7" baseField="0" baseItem="0" numFmtId="1"/>
  </dataFields>
  <formats count="4">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 dxfId="9">
      <pivotArea dataOnly="0" labelOnly="1" outline="0" fieldPosition="0">
        <references count="1">
          <reference field="4294967294" count="1">
            <x v="0"/>
          </reference>
        </references>
      </pivotArea>
    </format>
    <format dxfId="8">
      <pivotArea field="4" grandRow="1" outline="0" collapsedLevelsAreSubtotals="1" axis="axisRow" fieldPosition="0">
        <references count="1">
          <reference field="4294967294" count="1" selected="0">
            <x v="1"/>
          </reference>
        </references>
      </pivotArea>
    </format>
  </formats>
  <chartFormats count="3">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E4CBE-9999-4DA0-8F82-525541A4AD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3:C20" firstHeaderRow="0" firstDataRow="1" firstDataCol="1"/>
  <pivotFields count="12">
    <pivotField showAll="0"/>
    <pivotField numFmtId="164"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axis="axisRow" showAll="0" sortType="descending">
      <items count="17">
        <item x="2"/>
        <item x="15"/>
        <item x="6"/>
        <item x="0"/>
        <item x="3"/>
        <item x="7"/>
        <item x="10"/>
        <item x="11"/>
        <item x="9"/>
        <item x="12"/>
        <item x="8"/>
        <item x="1"/>
        <item x="4"/>
        <item x="5"/>
        <item x="14"/>
        <item x="13"/>
        <item t="default"/>
      </items>
      <autoSortScope>
        <pivotArea dataOnly="0" outline="0" fieldPosition="0">
          <references count="1">
            <reference field="4294967294" count="1" selected="0">
              <x v="0"/>
            </reference>
          </references>
        </pivotArea>
      </autoSortScope>
    </pivotField>
    <pivotField showAll="0">
      <items count="7">
        <item x="2"/>
        <item x="0"/>
        <item x="4"/>
        <item x="1"/>
        <item x="5"/>
        <item x="3"/>
        <item t="default"/>
      </items>
    </pivotField>
    <pivotField showAll="0">
      <items count="5">
        <item x="0"/>
        <item x="1"/>
        <item x="3"/>
        <item x="2"/>
        <item t="default"/>
      </items>
    </pivotField>
    <pivotField showAll="0"/>
    <pivotField dataField="1"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7">
    <i>
      <x v="6"/>
    </i>
    <i>
      <x v="8"/>
    </i>
    <i>
      <x v="2"/>
    </i>
    <i>
      <x v="3"/>
    </i>
    <i>
      <x v="14"/>
    </i>
    <i>
      <x v="11"/>
    </i>
    <i>
      <x/>
    </i>
    <i>
      <x v="5"/>
    </i>
    <i>
      <x v="13"/>
    </i>
    <i>
      <x v="4"/>
    </i>
    <i>
      <x v="10"/>
    </i>
    <i>
      <x v="1"/>
    </i>
    <i>
      <x v="12"/>
    </i>
    <i>
      <x v="15"/>
    </i>
    <i>
      <x v="7"/>
    </i>
    <i>
      <x v="9"/>
    </i>
    <i t="grand">
      <x/>
    </i>
  </rowItems>
  <colFields count="1">
    <field x="-2"/>
  </colFields>
  <colItems count="2">
    <i>
      <x/>
    </i>
    <i i="1">
      <x v="1"/>
    </i>
  </colItems>
  <dataFields count="2">
    <dataField name="Sum of Sales Amount (INR)" fld="9" baseField="0" baseItem="0" numFmtId="168"/>
    <dataField name="Sum of Quantity" fld="7" baseField="0" baseItem="0"/>
  </dataFields>
  <formats count="1">
    <format dxfId="7">
      <pivotArea outline="0" collapsedLevelsAreSubtotals="1" fieldPosition="0">
        <references count="1">
          <reference field="4294967294" count="1" selected="0">
            <x v="0"/>
          </reference>
        </references>
      </pivotArea>
    </format>
  </formats>
  <chartFormats count="2">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8BFF7-7F6F-4080-87C2-B323475BF5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D8" firstHeaderRow="0" firstDataRow="1" firstDataCol="1"/>
  <pivotFields count="12">
    <pivotField dataField="1" showAll="0"/>
    <pivotField numFmtId="164"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showAll="0"/>
    <pivotField showAll="0">
      <items count="7">
        <item x="2"/>
        <item x="0"/>
        <item x="4"/>
        <item x="1"/>
        <item x="5"/>
        <item x="3"/>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numFmtId="165"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1"/>
    </i>
    <i>
      <x/>
    </i>
    <i>
      <x v="3"/>
    </i>
    <i>
      <x v="2"/>
    </i>
    <i t="grand">
      <x/>
    </i>
  </rowItems>
  <colFields count="1">
    <field x="-2"/>
  </colFields>
  <colItems count="3">
    <i>
      <x/>
    </i>
    <i i="1">
      <x v="1"/>
    </i>
    <i i="2">
      <x v="2"/>
    </i>
  </colItems>
  <dataFields count="3">
    <dataField name="Sum of Sales Amount (INR)" fld="9" baseField="0" baseItem="0" numFmtId="168"/>
    <dataField name="Sum of Quantity" fld="7" baseField="0" baseItem="0" numFmtId="1"/>
    <dataField name="Count of Order ID" fld="0" subtotal="count" baseField="0" baseItem="0"/>
  </dataFields>
  <formats count="3">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 dxfId="4">
      <pivotArea field="5" grandRow="1" outline="0" collapsedLevelsAreSubtotals="1" axis="axisRow"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1E879-F79A-408F-AE60-3C3C25B9E0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
  <location ref="A3:B16" firstHeaderRow="1" firstDataRow="1" firstDataCol="1"/>
  <pivotFields count="12">
    <pivotField showAll="0"/>
    <pivotField axis="axisRow" numFmtId="164"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showAll="0"/>
    <pivotField showAll="0">
      <items count="7">
        <item x="2"/>
        <item x="0"/>
        <item x="4"/>
        <item x="1"/>
        <item x="5"/>
        <item x="3"/>
        <item t="default"/>
      </items>
    </pivotField>
    <pivotField showAll="0">
      <items count="5">
        <item x="0"/>
        <item x="1"/>
        <item x="3"/>
        <item x="2"/>
        <item t="default"/>
      </items>
    </pivotField>
    <pivotField showAll="0">
      <items count="17">
        <item x="4"/>
        <item x="7"/>
        <item x="0"/>
        <item x="12"/>
        <item x="8"/>
        <item x="14"/>
        <item x="5"/>
        <item x="1"/>
        <item x="11"/>
        <item x="9"/>
        <item x="6"/>
        <item x="15"/>
        <item x="2"/>
        <item x="3"/>
        <item x="13"/>
        <item x="10"/>
        <item t="default"/>
      </items>
    </pivotField>
    <pivotField showAll="0"/>
    <pivotField numFmtId="165" showAll="0"/>
    <pivotField dataField="1"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sortType="ascending">
      <items count="15">
        <item sd="0" x="1"/>
        <item sd="0" x="2"/>
        <item sd="0" x="3"/>
        <item sd="0" x="4"/>
        <item sd="0" x="5"/>
        <item sd="0" x="6"/>
        <item sd="0" x="7"/>
        <item sd="0" x="8"/>
        <item sd="0" x="9"/>
        <item sd="0" x="10"/>
        <item sd="0" x="11"/>
        <item sd="0" x="12"/>
        <item sd="0" x="0"/>
        <item sd="0" x="13"/>
        <item t="default" sd="0"/>
      </items>
    </pivotField>
  </pivotFields>
  <rowFields count="3">
    <field x="11"/>
    <field x="10"/>
    <field x="1"/>
  </rowFields>
  <rowItems count="13">
    <i>
      <x/>
    </i>
    <i>
      <x v="1"/>
    </i>
    <i>
      <x v="2"/>
    </i>
    <i>
      <x v="3"/>
    </i>
    <i>
      <x v="4"/>
    </i>
    <i>
      <x v="5"/>
    </i>
    <i>
      <x v="6"/>
    </i>
    <i>
      <x v="7"/>
    </i>
    <i>
      <x v="8"/>
    </i>
    <i>
      <x v="9"/>
    </i>
    <i>
      <x v="10"/>
    </i>
    <i>
      <x v="11"/>
    </i>
    <i t="grand">
      <x/>
    </i>
  </rowItems>
  <colItems count="1">
    <i/>
  </colItems>
  <dataFields count="1">
    <dataField name="Sum of Sales Amount (INR)" fld="9" baseField="0" baseItem="0" numFmtId="168"/>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5FA569-8245-4602-8435-9794FF14B9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A3:B10" firstHeaderRow="1" firstDataRow="1" firstDataCol="1"/>
  <pivotFields count="12">
    <pivotField showAll="0"/>
    <pivotField numFmtId="164"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showAll="0"/>
    <pivotField axis="axisRow" showAll="0" sortType="descending">
      <items count="7">
        <item x="2"/>
        <item x="0"/>
        <item x="4"/>
        <item x="1"/>
        <item x="5"/>
        <item x="3"/>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v="1"/>
    </i>
    <i>
      <x v="2"/>
    </i>
    <i>
      <x v="5"/>
    </i>
    <i>
      <x/>
    </i>
    <i>
      <x v="3"/>
    </i>
    <i>
      <x v="4"/>
    </i>
    <i t="grand">
      <x/>
    </i>
  </rowItems>
  <colItems count="1">
    <i/>
  </colItems>
  <dataFields count="1">
    <dataField name="Sum of Sales Amount (INR)" fld="9" baseField="0" baseItem="0" numFmtId="168"/>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EE7FFB-90FF-4E07-9482-BBB4FF5285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A3:B8" firstHeaderRow="1" firstDataRow="1" firstDataCol="1"/>
  <pivotFields count="12">
    <pivotField showAll="0"/>
    <pivotField numFmtId="164"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showAll="0"/>
    <pivotField showAll="0">
      <items count="7">
        <item x="2"/>
        <item x="0"/>
        <item x="4"/>
        <item x="1"/>
        <item x="5"/>
        <item x="3"/>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v="1"/>
    </i>
    <i>
      <x/>
    </i>
    <i>
      <x v="3"/>
    </i>
    <i>
      <x v="2"/>
    </i>
    <i t="grand">
      <x/>
    </i>
  </rowItems>
  <colItems count="1">
    <i/>
  </colItems>
  <dataFields count="1">
    <dataField name="Sum of Sales Amount (INR)" fld="9" baseField="0" baseItem="0" numFmtId="168"/>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701729-E942-4423-9AE8-E00977B532B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Product">
  <location ref="A3:B8" firstHeaderRow="1" firstDataRow="1" firstDataCol="1"/>
  <pivotFields count="12">
    <pivotField showAll="0"/>
    <pivotField numFmtId="164"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axis="axisRow" showAll="0" measureFilter="1" sortType="descending">
      <items count="17">
        <item x="2"/>
        <item x="15"/>
        <item x="6"/>
        <item x="0"/>
        <item x="3"/>
        <item x="7"/>
        <item x="10"/>
        <item x="11"/>
        <item x="9"/>
        <item x="12"/>
        <item x="8"/>
        <item x="1"/>
        <item x="4"/>
        <item x="5"/>
        <item x="14"/>
        <item x="13"/>
        <item t="default"/>
      </items>
      <autoSortScope>
        <pivotArea dataOnly="0" outline="0" fieldPosition="0">
          <references count="1">
            <reference field="4294967294" count="1" selected="0">
              <x v="0"/>
            </reference>
          </references>
        </pivotArea>
      </autoSortScope>
    </pivotField>
    <pivotField showAll="0">
      <items count="7">
        <item x="2"/>
        <item x="0"/>
        <item x="4"/>
        <item x="1"/>
        <item x="5"/>
        <item x="3"/>
        <item t="default"/>
      </items>
    </pivotField>
    <pivotField showAll="0">
      <items count="5">
        <item x="0"/>
        <item x="1"/>
        <item x="3"/>
        <item x="2"/>
        <item t="default"/>
      </items>
    </pivotField>
    <pivotField showAll="0"/>
    <pivotField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v="6"/>
    </i>
    <i>
      <x v="8"/>
    </i>
    <i>
      <x v="2"/>
    </i>
    <i>
      <x v="3"/>
    </i>
    <i>
      <x v="14"/>
    </i>
  </rowItems>
  <colItems count="1">
    <i/>
  </colItems>
  <dataFields count="1">
    <dataField name="Sum of Sales Amount (INR)" fld="9" baseField="0" baseItem="0" numFmtId="168"/>
  </dataFields>
  <formats count="1">
    <format dxfId="0">
      <pivotArea outline="0" collapsedLevelsAreSubtotals="1" fieldPosition="0"/>
    </format>
  </formats>
  <chartFormats count="10">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73D021-B48A-43F8-A466-45953C837994}" sourceName="Region">
  <pivotTables>
    <pivotTable tabId="10" name="PivotTable2"/>
    <pivotTable tabId="5" name="PivotTable2"/>
    <pivotTable tabId="9" name="PivotTable1"/>
    <pivotTable tabId="7" name="PivotTable4"/>
    <pivotTable tabId="8" name="PivotTable5"/>
    <pivotTable tabId="14" name="PivotTable2"/>
    <pivotTable tabId="6" name="PivotTable3"/>
  </pivotTables>
  <data>
    <tabular pivotCacheId="150264867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F72668-93EC-4F29-B82D-1FCE7C9F4E69}" sourceName="Category">
  <pivotTables>
    <pivotTable tabId="9" name="PivotTable1"/>
    <pivotTable tabId="5" name="PivotTable2"/>
    <pivotTable tabId="7" name="PivotTable4"/>
    <pivotTable tabId="8" name="PivotTable5"/>
    <pivotTable tabId="14" name="PivotTable2"/>
    <pivotTable tabId="6" name="PivotTable3"/>
    <pivotTable tabId="10" name="PivotTable2"/>
  </pivotTables>
  <data>
    <tabular pivotCacheId="1502648670">
      <items count="6">
        <i x="2" s="1"/>
        <i x="0" s="1"/>
        <i x="4" s="1"/>
        <i x="1"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239EA6B-B629-4C45-8E18-1730A66CA60D}" sourceName="Months (Order Date)">
  <pivotTables>
    <pivotTable tabId="7" name="PivotTable4"/>
    <pivotTable tabId="5" name="PivotTable2"/>
    <pivotTable tabId="9" name="PivotTable1"/>
    <pivotTable tabId="8" name="PivotTable5"/>
    <pivotTable tabId="14" name="PivotTable2"/>
    <pivotTable tabId="6" name="PivotTable3"/>
    <pivotTable tabId="10" name="PivotTable2"/>
  </pivotTables>
  <data>
    <tabular pivotCacheId="150264867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CCC42DD-6D36-4A56-BC71-AFADE2EC01DA}" cache="Slicer_Region" caption="Region" rowHeight="504000"/>
  <slicer name="Category 1" xr10:uid="{E526A8C9-5EA1-4089-A824-070BEC6DCB77}" cache="Slicer_Category" caption="Category" rowHeight="324000"/>
  <slicer name="Months (Order Date)" xr10:uid="{4800BB0F-F47C-44A0-8F0E-378A07E12AF3}" cache="Slicer_Months__Order_Date" caption="Months (Order Date)" columnCount="1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pane ySplit="7" topLeftCell="A14" activePane="bottomLeft" state="frozen"/>
      <selection pane="bottomLeft" activeCell="I28" sqref="I28"/>
    </sheetView>
  </sheetViews>
  <sheetFormatPr defaultRowHeight="14.5" x14ac:dyDescent="0.35"/>
  <cols>
    <col min="1" max="1" width="28" customWidth="1"/>
    <col min="2" max="2" width="100" customWidth="1"/>
  </cols>
  <sheetData>
    <row r="1" spans="1:2" ht="21" x14ac:dyDescent="0.5">
      <c r="A1" s="27" t="s">
        <v>583</v>
      </c>
      <c r="B1" s="28"/>
    </row>
    <row r="3" spans="1:2" x14ac:dyDescent="0.35">
      <c r="A3" s="5" t="s">
        <v>531</v>
      </c>
      <c r="B3" s="4" t="s">
        <v>532</v>
      </c>
    </row>
    <row r="4" spans="1:2" x14ac:dyDescent="0.35">
      <c r="A4" s="5" t="s">
        <v>533</v>
      </c>
      <c r="B4" s="4" t="s">
        <v>534</v>
      </c>
    </row>
    <row r="5" spans="1:2" x14ac:dyDescent="0.35">
      <c r="A5" s="5" t="s">
        <v>535</v>
      </c>
      <c r="B5" s="4" t="s">
        <v>536</v>
      </c>
    </row>
    <row r="6" spans="1:2" x14ac:dyDescent="0.35">
      <c r="A6" s="3"/>
      <c r="B6" s="4"/>
    </row>
    <row r="7" spans="1:2" x14ac:dyDescent="0.35">
      <c r="A7" s="26" t="s">
        <v>537</v>
      </c>
      <c r="B7" s="5" t="s">
        <v>538</v>
      </c>
    </row>
    <row r="8" spans="1:2" x14ac:dyDescent="0.35">
      <c r="A8" s="3" t="s">
        <v>0</v>
      </c>
      <c r="B8" s="4" t="s">
        <v>539</v>
      </c>
    </row>
    <row r="9" spans="1:2" x14ac:dyDescent="0.35">
      <c r="A9" s="3" t="s">
        <v>1</v>
      </c>
      <c r="B9" s="4" t="s">
        <v>540</v>
      </c>
    </row>
    <row r="10" spans="1:2" x14ac:dyDescent="0.35">
      <c r="A10" s="3" t="s">
        <v>2</v>
      </c>
      <c r="B10" s="4" t="s">
        <v>541</v>
      </c>
    </row>
    <row r="11" spans="1:2" x14ac:dyDescent="0.35">
      <c r="A11" s="3" t="s">
        <v>3</v>
      </c>
      <c r="B11" s="4" t="s">
        <v>542</v>
      </c>
    </row>
    <row r="12" spans="1:2" x14ac:dyDescent="0.35">
      <c r="A12" s="3" t="s">
        <v>4</v>
      </c>
      <c r="B12" s="4" t="s">
        <v>543</v>
      </c>
    </row>
    <row r="13" spans="1:2" x14ac:dyDescent="0.35">
      <c r="A13" s="3" t="s">
        <v>5</v>
      </c>
      <c r="B13" s="4" t="s">
        <v>544</v>
      </c>
    </row>
    <row r="14" spans="1:2" x14ac:dyDescent="0.35">
      <c r="A14" s="3" t="s">
        <v>6</v>
      </c>
      <c r="B14" s="4" t="s">
        <v>545</v>
      </c>
    </row>
    <row r="15" spans="1:2" x14ac:dyDescent="0.35">
      <c r="A15" s="3" t="s">
        <v>7</v>
      </c>
      <c r="B15" s="4" t="s">
        <v>546</v>
      </c>
    </row>
    <row r="16" spans="1:2" x14ac:dyDescent="0.35">
      <c r="A16" s="3" t="s">
        <v>8</v>
      </c>
      <c r="B16" s="4" t="s">
        <v>547</v>
      </c>
    </row>
    <row r="17" spans="1:2" x14ac:dyDescent="0.35">
      <c r="A17" s="3" t="s">
        <v>9</v>
      </c>
      <c r="B17" s="4" t="s">
        <v>548</v>
      </c>
    </row>
    <row r="19" spans="1:2" ht="43.5" x14ac:dyDescent="0.35">
      <c r="A19" s="26" t="s">
        <v>575</v>
      </c>
      <c r="B19" s="25" t="s">
        <v>576</v>
      </c>
    </row>
    <row r="21" spans="1:2" ht="29" x14ac:dyDescent="0.35">
      <c r="A21" s="26" t="s">
        <v>577</v>
      </c>
      <c r="B21" s="25" t="s">
        <v>578</v>
      </c>
    </row>
    <row r="23" spans="1:2" ht="43.5" x14ac:dyDescent="0.35">
      <c r="A23" s="26" t="s">
        <v>579</v>
      </c>
      <c r="B23" s="25" t="s">
        <v>580</v>
      </c>
    </row>
    <row r="25" spans="1:2" ht="43.5" x14ac:dyDescent="0.35">
      <c r="A25" s="26" t="s">
        <v>581</v>
      </c>
      <c r="B25" s="25" t="s">
        <v>582</v>
      </c>
    </row>
  </sheetData>
  <mergeCells count="1">
    <mergeCell ref="A1:B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740F2-DCE0-415C-8D84-01344D2EB6DB}">
  <dimension ref="A1:B7"/>
  <sheetViews>
    <sheetView workbookViewId="0">
      <selection activeCell="E8" sqref="E8"/>
    </sheetView>
  </sheetViews>
  <sheetFormatPr defaultRowHeight="14.5" x14ac:dyDescent="0.35"/>
  <cols>
    <col min="1" max="1" width="19.81640625" bestFit="1" customWidth="1"/>
    <col min="2" max="2" width="11.7265625" bestFit="1" customWidth="1"/>
  </cols>
  <sheetData>
    <row r="1" spans="1:2" x14ac:dyDescent="0.35">
      <c r="A1" s="13" t="s">
        <v>549</v>
      </c>
      <c r="B1" s="15" t="s">
        <v>550</v>
      </c>
    </row>
    <row r="2" spans="1:2" x14ac:dyDescent="0.35">
      <c r="A2" s="18" t="s">
        <v>551</v>
      </c>
      <c r="B2" s="19">
        <f>SUM('Raw Sales Data'!J:J)</f>
        <v>3439888</v>
      </c>
    </row>
    <row r="3" spans="1:2" x14ac:dyDescent="0.35">
      <c r="A3" s="14" t="s">
        <v>552</v>
      </c>
      <c r="B3" s="22">
        <f>SUM('Raw Sales Data'!H:H)</f>
        <v>1293</v>
      </c>
    </row>
    <row r="4" spans="1:2" x14ac:dyDescent="0.35">
      <c r="A4" s="14" t="s">
        <v>553</v>
      </c>
      <c r="B4" s="16">
        <f>COUNTA('Raw Sales Data'!A:A)-1</f>
        <v>400</v>
      </c>
    </row>
    <row r="5" spans="1:2" x14ac:dyDescent="0.35">
      <c r="A5" s="14" t="s">
        <v>554</v>
      </c>
      <c r="B5" s="17">
        <f>B2/B4</f>
        <v>8599.7199999999993</v>
      </c>
    </row>
    <row r="6" spans="1:2" x14ac:dyDescent="0.35">
      <c r="A6" s="14" t="s">
        <v>555</v>
      </c>
      <c r="B6" s="17">
        <f>AVERAGE('Raw Sales Data'!I:I)</f>
        <v>2764.2275</v>
      </c>
    </row>
    <row r="7" spans="1:2" x14ac:dyDescent="0.35">
      <c r="A7" s="14" t="s">
        <v>573</v>
      </c>
      <c r="B7" s="17">
        <f>B2/12</f>
        <v>286657.33333333331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401"/>
  <sheetViews>
    <sheetView zoomScaleNormal="100" workbookViewId="0">
      <pane ySplit="1" topLeftCell="A14" activePane="bottomLeft" state="frozen"/>
      <selection pane="bottomLeft" activeCell="G236" sqref="G236"/>
    </sheetView>
  </sheetViews>
  <sheetFormatPr defaultRowHeight="14.5" x14ac:dyDescent="0.35"/>
  <cols>
    <col min="1" max="1" width="15" customWidth="1"/>
    <col min="2" max="2" width="14" customWidth="1"/>
    <col min="3" max="3" width="16" customWidth="1"/>
    <col min="4" max="4" width="25" customWidth="1"/>
    <col min="5" max="5" width="22" customWidth="1"/>
    <col min="6" max="6" width="14" customWidth="1"/>
    <col min="7" max="7" width="18" customWidth="1"/>
    <col min="8" max="8" width="12" customWidth="1"/>
    <col min="9" max="9" width="20" customWidth="1"/>
    <col min="10" max="10" width="22" customWidth="1"/>
  </cols>
  <sheetData>
    <row r="1" spans="1:10" ht="28" customHeight="1" x14ac:dyDescent="0.35">
      <c r="A1" s="1" t="s">
        <v>0</v>
      </c>
      <c r="B1" s="1" t="s">
        <v>1</v>
      </c>
      <c r="C1" s="1" t="s">
        <v>2</v>
      </c>
      <c r="D1" s="1" t="s">
        <v>3</v>
      </c>
      <c r="E1" s="1" t="s">
        <v>4</v>
      </c>
      <c r="F1" s="1" t="s">
        <v>5</v>
      </c>
      <c r="G1" s="1" t="s">
        <v>6</v>
      </c>
      <c r="H1" s="1" t="s">
        <v>7</v>
      </c>
      <c r="I1" s="1" t="s">
        <v>8</v>
      </c>
      <c r="J1" s="1" t="s">
        <v>9</v>
      </c>
    </row>
    <row r="2" spans="1:10" hidden="1" x14ac:dyDescent="0.35">
      <c r="A2" t="s">
        <v>10</v>
      </c>
      <c r="B2" s="2">
        <v>45659</v>
      </c>
      <c r="C2" t="s">
        <v>11</v>
      </c>
      <c r="D2" t="s">
        <v>12</v>
      </c>
      <c r="E2" t="s">
        <v>13</v>
      </c>
      <c r="F2" t="s">
        <v>14</v>
      </c>
      <c r="G2" t="s">
        <v>15</v>
      </c>
      <c r="H2">
        <v>3</v>
      </c>
      <c r="I2" s="20">
        <v>2660</v>
      </c>
      <c r="J2" s="20">
        <v>7980</v>
      </c>
    </row>
    <row r="3" spans="1:10" hidden="1" x14ac:dyDescent="0.35">
      <c r="A3" t="s">
        <v>16</v>
      </c>
      <c r="B3" s="2">
        <v>45660</v>
      </c>
      <c r="C3" t="s">
        <v>17</v>
      </c>
      <c r="D3" t="s">
        <v>18</v>
      </c>
      <c r="E3" t="s">
        <v>19</v>
      </c>
      <c r="F3" t="s">
        <v>20</v>
      </c>
      <c r="G3" t="s">
        <v>21</v>
      </c>
      <c r="H3">
        <v>2</v>
      </c>
      <c r="I3" s="20">
        <v>1800</v>
      </c>
      <c r="J3" s="20">
        <v>3600</v>
      </c>
    </row>
    <row r="4" spans="1:10" hidden="1" x14ac:dyDescent="0.35">
      <c r="A4" t="s">
        <v>22</v>
      </c>
      <c r="B4" s="2">
        <v>45661</v>
      </c>
      <c r="C4" t="s">
        <v>23</v>
      </c>
      <c r="D4" t="s">
        <v>24</v>
      </c>
      <c r="E4" t="s">
        <v>13</v>
      </c>
      <c r="F4" t="s">
        <v>14</v>
      </c>
      <c r="G4" t="s">
        <v>25</v>
      </c>
      <c r="H4">
        <v>2</v>
      </c>
      <c r="I4" s="20">
        <v>2400</v>
      </c>
      <c r="J4" s="20">
        <v>4800</v>
      </c>
    </row>
    <row r="5" spans="1:10" hidden="1" x14ac:dyDescent="0.35">
      <c r="A5" t="s">
        <v>26</v>
      </c>
      <c r="B5" s="2">
        <v>45662</v>
      </c>
      <c r="C5" t="s">
        <v>27</v>
      </c>
      <c r="D5" t="s">
        <v>28</v>
      </c>
      <c r="E5" t="s">
        <v>29</v>
      </c>
      <c r="F5" t="s">
        <v>30</v>
      </c>
      <c r="G5" t="s">
        <v>31</v>
      </c>
      <c r="H5">
        <v>6</v>
      </c>
      <c r="I5" s="20">
        <v>1200</v>
      </c>
      <c r="J5" s="20">
        <v>7200</v>
      </c>
    </row>
    <row r="6" spans="1:10" hidden="1" x14ac:dyDescent="0.35">
      <c r="A6" t="s">
        <v>32</v>
      </c>
      <c r="B6" s="2">
        <v>45665</v>
      </c>
      <c r="C6" t="s">
        <v>33</v>
      </c>
      <c r="D6" t="s">
        <v>34</v>
      </c>
      <c r="E6" t="s">
        <v>35</v>
      </c>
      <c r="F6" t="s">
        <v>30</v>
      </c>
      <c r="G6" t="s">
        <v>36</v>
      </c>
      <c r="H6">
        <v>3</v>
      </c>
      <c r="I6" s="20">
        <v>700</v>
      </c>
      <c r="J6" s="20">
        <v>2100</v>
      </c>
    </row>
    <row r="7" spans="1:10" hidden="1" x14ac:dyDescent="0.35">
      <c r="A7" t="s">
        <v>37</v>
      </c>
      <c r="B7" s="2">
        <v>45666</v>
      </c>
      <c r="C7" t="s">
        <v>33</v>
      </c>
      <c r="D7" t="s">
        <v>38</v>
      </c>
      <c r="E7" t="s">
        <v>29</v>
      </c>
      <c r="F7" t="s">
        <v>39</v>
      </c>
      <c r="G7" t="s">
        <v>40</v>
      </c>
      <c r="H7">
        <v>2</v>
      </c>
      <c r="I7" s="20">
        <v>2200</v>
      </c>
      <c r="J7" s="20">
        <v>4400</v>
      </c>
    </row>
    <row r="8" spans="1:10" hidden="1" x14ac:dyDescent="0.35">
      <c r="A8" t="s">
        <v>41</v>
      </c>
      <c r="B8" s="2">
        <v>45666</v>
      </c>
      <c r="C8" t="s">
        <v>42</v>
      </c>
      <c r="D8" t="s">
        <v>43</v>
      </c>
      <c r="E8" t="s">
        <v>35</v>
      </c>
      <c r="F8" t="s">
        <v>20</v>
      </c>
      <c r="G8" t="s">
        <v>44</v>
      </c>
      <c r="H8">
        <v>1</v>
      </c>
      <c r="I8" s="20">
        <v>6175</v>
      </c>
      <c r="J8" s="20">
        <v>6175</v>
      </c>
    </row>
    <row r="9" spans="1:10" hidden="1" x14ac:dyDescent="0.35">
      <c r="A9" t="s">
        <v>45</v>
      </c>
      <c r="B9" s="2">
        <v>45666</v>
      </c>
      <c r="C9" t="s">
        <v>46</v>
      </c>
      <c r="D9" t="s">
        <v>34</v>
      </c>
      <c r="E9" t="s">
        <v>35</v>
      </c>
      <c r="F9" t="s">
        <v>20</v>
      </c>
      <c r="G9" t="s">
        <v>44</v>
      </c>
      <c r="H9">
        <v>3</v>
      </c>
      <c r="I9" s="20">
        <v>700</v>
      </c>
      <c r="J9" s="20">
        <v>2100</v>
      </c>
    </row>
    <row r="10" spans="1:10" hidden="1" x14ac:dyDescent="0.35">
      <c r="A10" t="s">
        <v>47</v>
      </c>
      <c r="B10" s="2">
        <v>45667</v>
      </c>
      <c r="C10" t="s">
        <v>48</v>
      </c>
      <c r="D10" t="s">
        <v>49</v>
      </c>
      <c r="E10" t="s">
        <v>29</v>
      </c>
      <c r="F10" t="s">
        <v>39</v>
      </c>
      <c r="G10" t="s">
        <v>50</v>
      </c>
      <c r="H10">
        <v>8</v>
      </c>
      <c r="I10" s="20">
        <v>1500</v>
      </c>
      <c r="J10" s="20">
        <v>12000</v>
      </c>
    </row>
    <row r="11" spans="1:10" hidden="1" x14ac:dyDescent="0.35">
      <c r="A11" t="s">
        <v>51</v>
      </c>
      <c r="B11" s="2">
        <v>45667</v>
      </c>
      <c r="C11" t="s">
        <v>52</v>
      </c>
      <c r="D11" t="s">
        <v>28</v>
      </c>
      <c r="E11" t="s">
        <v>29</v>
      </c>
      <c r="F11" t="s">
        <v>39</v>
      </c>
      <c r="G11" t="s">
        <v>50</v>
      </c>
      <c r="H11">
        <v>10</v>
      </c>
      <c r="I11" s="20">
        <v>1200</v>
      </c>
      <c r="J11" s="20">
        <v>12000</v>
      </c>
    </row>
    <row r="12" spans="1:10" hidden="1" x14ac:dyDescent="0.35">
      <c r="A12" t="s">
        <v>53</v>
      </c>
      <c r="B12" s="2">
        <v>45668</v>
      </c>
      <c r="C12" t="s">
        <v>17</v>
      </c>
      <c r="D12" t="s">
        <v>54</v>
      </c>
      <c r="E12" t="s">
        <v>19</v>
      </c>
      <c r="F12" t="s">
        <v>14</v>
      </c>
      <c r="G12" t="s">
        <v>15</v>
      </c>
      <c r="H12">
        <v>1</v>
      </c>
      <c r="I12" s="20">
        <v>945</v>
      </c>
      <c r="J12" s="20">
        <v>945</v>
      </c>
    </row>
    <row r="13" spans="1:10" hidden="1" x14ac:dyDescent="0.35">
      <c r="A13" t="s">
        <v>55</v>
      </c>
      <c r="B13" s="2">
        <v>45671</v>
      </c>
      <c r="C13" t="s">
        <v>56</v>
      </c>
      <c r="D13" t="s">
        <v>18</v>
      </c>
      <c r="E13" t="s">
        <v>19</v>
      </c>
      <c r="F13" t="s">
        <v>14</v>
      </c>
      <c r="G13" t="s">
        <v>25</v>
      </c>
      <c r="H13">
        <v>3</v>
      </c>
      <c r="I13" s="20">
        <v>1800</v>
      </c>
      <c r="J13" s="20">
        <v>5400</v>
      </c>
    </row>
    <row r="14" spans="1:10" hidden="1" x14ac:dyDescent="0.35">
      <c r="A14" t="s">
        <v>57</v>
      </c>
      <c r="B14" s="2">
        <v>45671</v>
      </c>
      <c r="C14" t="s">
        <v>11</v>
      </c>
      <c r="D14" t="s">
        <v>58</v>
      </c>
      <c r="E14" t="s">
        <v>59</v>
      </c>
      <c r="F14" t="s">
        <v>14</v>
      </c>
      <c r="G14" t="s">
        <v>15</v>
      </c>
      <c r="H14">
        <v>8</v>
      </c>
      <c r="I14" s="20">
        <v>7200</v>
      </c>
      <c r="J14" s="20">
        <v>57600</v>
      </c>
    </row>
    <row r="15" spans="1:10" hidden="1" x14ac:dyDescent="0.35">
      <c r="A15" t="s">
        <v>60</v>
      </c>
      <c r="B15" s="2">
        <v>45672</v>
      </c>
      <c r="C15" t="s">
        <v>17</v>
      </c>
      <c r="D15" t="s">
        <v>43</v>
      </c>
      <c r="E15" t="s">
        <v>35</v>
      </c>
      <c r="F15" t="s">
        <v>20</v>
      </c>
      <c r="G15" t="s">
        <v>44</v>
      </c>
      <c r="H15">
        <v>4</v>
      </c>
      <c r="I15" s="20">
        <v>6500</v>
      </c>
      <c r="J15" s="20">
        <v>26000</v>
      </c>
    </row>
    <row r="16" spans="1:10" hidden="1" x14ac:dyDescent="0.35">
      <c r="A16" t="s">
        <v>61</v>
      </c>
      <c r="B16" s="2">
        <v>45672</v>
      </c>
      <c r="C16" t="s">
        <v>62</v>
      </c>
      <c r="D16" t="s">
        <v>28</v>
      </c>
      <c r="E16" t="s">
        <v>29</v>
      </c>
      <c r="F16" t="s">
        <v>30</v>
      </c>
      <c r="G16" t="s">
        <v>36</v>
      </c>
      <c r="H16">
        <v>2</v>
      </c>
      <c r="I16" s="20">
        <v>1140</v>
      </c>
      <c r="J16" s="20">
        <v>2280</v>
      </c>
    </row>
    <row r="17" spans="1:10" hidden="1" x14ac:dyDescent="0.35">
      <c r="A17" t="s">
        <v>63</v>
      </c>
      <c r="B17" s="2">
        <v>45673</v>
      </c>
      <c r="C17" t="s">
        <v>64</v>
      </c>
      <c r="D17" t="s">
        <v>43</v>
      </c>
      <c r="E17" t="s">
        <v>35</v>
      </c>
      <c r="F17" t="s">
        <v>39</v>
      </c>
      <c r="G17" t="s">
        <v>65</v>
      </c>
      <c r="H17">
        <v>1</v>
      </c>
      <c r="I17" s="20">
        <v>6175</v>
      </c>
      <c r="J17" s="20">
        <v>6175</v>
      </c>
    </row>
    <row r="18" spans="1:10" hidden="1" x14ac:dyDescent="0.35">
      <c r="A18" t="s">
        <v>66</v>
      </c>
      <c r="B18" s="2">
        <v>45674</v>
      </c>
      <c r="C18" t="s">
        <v>67</v>
      </c>
      <c r="D18" t="s">
        <v>43</v>
      </c>
      <c r="E18" t="s">
        <v>35</v>
      </c>
      <c r="F18" t="s">
        <v>14</v>
      </c>
      <c r="G18" t="s">
        <v>68</v>
      </c>
      <c r="H18">
        <v>2</v>
      </c>
      <c r="I18" s="20">
        <v>6500</v>
      </c>
      <c r="J18" s="20">
        <v>13000</v>
      </c>
    </row>
    <row r="19" spans="1:10" hidden="1" x14ac:dyDescent="0.35">
      <c r="A19" t="s">
        <v>69</v>
      </c>
      <c r="B19" s="2">
        <v>45674</v>
      </c>
      <c r="C19" t="s">
        <v>56</v>
      </c>
      <c r="D19" t="s">
        <v>70</v>
      </c>
      <c r="E19" t="s">
        <v>13</v>
      </c>
      <c r="F19" t="s">
        <v>30</v>
      </c>
      <c r="G19" t="s">
        <v>71</v>
      </c>
      <c r="H19">
        <v>4</v>
      </c>
      <c r="I19" s="20">
        <v>10500</v>
      </c>
      <c r="J19" s="20">
        <v>42000</v>
      </c>
    </row>
    <row r="20" spans="1:10" hidden="1" x14ac:dyDescent="0.35">
      <c r="A20" t="s">
        <v>72</v>
      </c>
      <c r="B20" s="2">
        <v>45674</v>
      </c>
      <c r="C20" t="s">
        <v>73</v>
      </c>
      <c r="D20" t="s">
        <v>49</v>
      </c>
      <c r="E20" t="s">
        <v>29</v>
      </c>
      <c r="F20" t="s">
        <v>30</v>
      </c>
      <c r="G20" t="s">
        <v>71</v>
      </c>
      <c r="H20">
        <v>1</v>
      </c>
      <c r="I20" s="20">
        <v>1500</v>
      </c>
      <c r="J20" s="20">
        <v>1500</v>
      </c>
    </row>
    <row r="21" spans="1:10" hidden="1" x14ac:dyDescent="0.35">
      <c r="A21" t="s">
        <v>74</v>
      </c>
      <c r="B21" s="2">
        <v>45674</v>
      </c>
      <c r="C21" t="s">
        <v>75</v>
      </c>
      <c r="D21" t="s">
        <v>34</v>
      </c>
      <c r="E21" t="s">
        <v>35</v>
      </c>
      <c r="F21" t="s">
        <v>39</v>
      </c>
      <c r="G21" t="s">
        <v>76</v>
      </c>
      <c r="H21">
        <v>1</v>
      </c>
      <c r="I21" s="20">
        <v>700</v>
      </c>
      <c r="J21" s="20">
        <v>700</v>
      </c>
    </row>
    <row r="22" spans="1:10" hidden="1" x14ac:dyDescent="0.35">
      <c r="A22" t="s">
        <v>77</v>
      </c>
      <c r="B22" s="2">
        <v>45676</v>
      </c>
      <c r="C22" t="s">
        <v>52</v>
      </c>
      <c r="D22" t="s">
        <v>24</v>
      </c>
      <c r="E22" t="s">
        <v>13</v>
      </c>
      <c r="F22" t="s">
        <v>14</v>
      </c>
      <c r="G22" t="s">
        <v>25</v>
      </c>
      <c r="H22">
        <v>3</v>
      </c>
      <c r="I22" s="20">
        <v>2400</v>
      </c>
      <c r="J22" s="20">
        <v>7200</v>
      </c>
    </row>
    <row r="23" spans="1:10" hidden="1" x14ac:dyDescent="0.35">
      <c r="A23" t="s">
        <v>78</v>
      </c>
      <c r="B23" s="2">
        <v>45677</v>
      </c>
      <c r="C23" t="s">
        <v>79</v>
      </c>
      <c r="D23" t="s">
        <v>18</v>
      </c>
      <c r="E23" t="s">
        <v>19</v>
      </c>
      <c r="F23" t="s">
        <v>39</v>
      </c>
      <c r="G23" t="s">
        <v>76</v>
      </c>
      <c r="H23">
        <v>6</v>
      </c>
      <c r="I23" s="20">
        <v>1800</v>
      </c>
      <c r="J23" s="20">
        <v>10800</v>
      </c>
    </row>
    <row r="24" spans="1:10" hidden="1" x14ac:dyDescent="0.35">
      <c r="A24" t="s">
        <v>80</v>
      </c>
      <c r="B24" s="2">
        <v>45679</v>
      </c>
      <c r="C24" t="s">
        <v>81</v>
      </c>
      <c r="D24" t="s">
        <v>18</v>
      </c>
      <c r="E24" t="s">
        <v>19</v>
      </c>
      <c r="F24" t="s">
        <v>30</v>
      </c>
      <c r="G24" t="s">
        <v>71</v>
      </c>
      <c r="H24">
        <v>8</v>
      </c>
      <c r="I24" s="20">
        <v>1710</v>
      </c>
      <c r="J24" s="20">
        <v>13680</v>
      </c>
    </row>
    <row r="25" spans="1:10" hidden="1" x14ac:dyDescent="0.35">
      <c r="A25" t="s">
        <v>82</v>
      </c>
      <c r="B25" s="2">
        <v>45680</v>
      </c>
      <c r="C25" t="s">
        <v>11</v>
      </c>
      <c r="D25" t="s">
        <v>83</v>
      </c>
      <c r="E25" t="s">
        <v>84</v>
      </c>
      <c r="F25" t="s">
        <v>20</v>
      </c>
      <c r="G25" t="s">
        <v>85</v>
      </c>
      <c r="H25">
        <v>10</v>
      </c>
      <c r="I25" s="20">
        <v>120</v>
      </c>
      <c r="J25" s="20">
        <v>1200</v>
      </c>
    </row>
    <row r="26" spans="1:10" hidden="1" x14ac:dyDescent="0.35">
      <c r="A26" t="s">
        <v>86</v>
      </c>
      <c r="B26" s="2">
        <v>45680</v>
      </c>
      <c r="C26" t="s">
        <v>87</v>
      </c>
      <c r="D26" t="s">
        <v>12</v>
      </c>
      <c r="E26" t="s">
        <v>13</v>
      </c>
      <c r="F26" t="s">
        <v>30</v>
      </c>
      <c r="G26" t="s">
        <v>71</v>
      </c>
      <c r="H26">
        <v>6</v>
      </c>
      <c r="I26" s="20">
        <v>2800</v>
      </c>
      <c r="J26" s="20">
        <v>16800</v>
      </c>
    </row>
    <row r="27" spans="1:10" hidden="1" x14ac:dyDescent="0.35">
      <c r="A27" t="s">
        <v>88</v>
      </c>
      <c r="B27" s="2">
        <v>45680</v>
      </c>
      <c r="C27" t="s">
        <v>89</v>
      </c>
      <c r="D27" t="s">
        <v>49</v>
      </c>
      <c r="E27" t="s">
        <v>29</v>
      </c>
      <c r="F27" t="s">
        <v>20</v>
      </c>
      <c r="G27" t="s">
        <v>21</v>
      </c>
      <c r="H27">
        <v>1</v>
      </c>
      <c r="I27" s="20">
        <v>1500</v>
      </c>
      <c r="J27" s="20">
        <v>1500</v>
      </c>
    </row>
    <row r="28" spans="1:10" hidden="1" x14ac:dyDescent="0.35">
      <c r="A28" t="s">
        <v>90</v>
      </c>
      <c r="B28" s="2">
        <v>45681</v>
      </c>
      <c r="C28" t="s">
        <v>91</v>
      </c>
      <c r="D28" t="s">
        <v>34</v>
      </c>
      <c r="E28" t="s">
        <v>35</v>
      </c>
      <c r="F28" t="s">
        <v>14</v>
      </c>
      <c r="G28" t="s">
        <v>68</v>
      </c>
      <c r="H28">
        <v>4</v>
      </c>
      <c r="I28" s="20">
        <v>735</v>
      </c>
      <c r="J28" s="20">
        <v>2940</v>
      </c>
    </row>
    <row r="29" spans="1:10" hidden="1" x14ac:dyDescent="0.35">
      <c r="A29" t="s">
        <v>92</v>
      </c>
      <c r="B29" s="2">
        <v>45682</v>
      </c>
      <c r="C29" t="s">
        <v>93</v>
      </c>
      <c r="D29" t="s">
        <v>43</v>
      </c>
      <c r="E29" t="s">
        <v>35</v>
      </c>
      <c r="F29" t="s">
        <v>14</v>
      </c>
      <c r="G29" t="s">
        <v>68</v>
      </c>
      <c r="H29">
        <v>2</v>
      </c>
      <c r="I29" s="20">
        <v>6825</v>
      </c>
      <c r="J29" s="20">
        <v>13650</v>
      </c>
    </row>
    <row r="30" spans="1:10" hidden="1" x14ac:dyDescent="0.35">
      <c r="A30" t="s">
        <v>94</v>
      </c>
      <c r="B30" s="2">
        <v>45683</v>
      </c>
      <c r="C30" t="s">
        <v>95</v>
      </c>
      <c r="D30" t="s">
        <v>34</v>
      </c>
      <c r="E30" t="s">
        <v>35</v>
      </c>
      <c r="F30" t="s">
        <v>14</v>
      </c>
      <c r="G30" t="s">
        <v>15</v>
      </c>
      <c r="H30">
        <v>2</v>
      </c>
      <c r="I30" s="20">
        <v>700</v>
      </c>
      <c r="J30" s="20">
        <v>1400</v>
      </c>
    </row>
    <row r="31" spans="1:10" hidden="1" x14ac:dyDescent="0.35">
      <c r="A31" t="s">
        <v>96</v>
      </c>
      <c r="B31" s="2">
        <v>45685</v>
      </c>
      <c r="C31" t="s">
        <v>97</v>
      </c>
      <c r="D31" t="s">
        <v>18</v>
      </c>
      <c r="E31" t="s">
        <v>19</v>
      </c>
      <c r="F31" t="s">
        <v>14</v>
      </c>
      <c r="G31" t="s">
        <v>68</v>
      </c>
      <c r="H31">
        <v>4</v>
      </c>
      <c r="I31" s="20">
        <v>1800</v>
      </c>
      <c r="J31" s="20">
        <v>7200</v>
      </c>
    </row>
    <row r="32" spans="1:10" hidden="1" x14ac:dyDescent="0.35">
      <c r="A32" t="s">
        <v>98</v>
      </c>
      <c r="B32" s="2">
        <v>45685</v>
      </c>
      <c r="C32" t="s">
        <v>99</v>
      </c>
      <c r="D32" t="s">
        <v>12</v>
      </c>
      <c r="E32" t="s">
        <v>13</v>
      </c>
      <c r="F32" t="s">
        <v>14</v>
      </c>
      <c r="G32" t="s">
        <v>100</v>
      </c>
      <c r="H32">
        <v>3</v>
      </c>
      <c r="I32" s="20">
        <v>2940</v>
      </c>
      <c r="J32" s="20">
        <v>8820</v>
      </c>
    </row>
    <row r="33" spans="1:10" hidden="1" x14ac:dyDescent="0.35">
      <c r="A33" t="s">
        <v>101</v>
      </c>
      <c r="B33" s="2">
        <v>45686</v>
      </c>
      <c r="C33" t="s">
        <v>102</v>
      </c>
      <c r="D33" t="s">
        <v>24</v>
      </c>
      <c r="E33" t="s">
        <v>13</v>
      </c>
      <c r="F33" t="s">
        <v>14</v>
      </c>
      <c r="G33" t="s">
        <v>100</v>
      </c>
      <c r="H33">
        <v>3</v>
      </c>
      <c r="I33" s="20">
        <v>2400</v>
      </c>
      <c r="J33" s="20">
        <v>7200</v>
      </c>
    </row>
    <row r="34" spans="1:10" hidden="1" x14ac:dyDescent="0.35">
      <c r="A34" t="s">
        <v>103</v>
      </c>
      <c r="B34" s="2">
        <v>45687</v>
      </c>
      <c r="C34" t="s">
        <v>104</v>
      </c>
      <c r="D34" t="s">
        <v>24</v>
      </c>
      <c r="E34" t="s">
        <v>13</v>
      </c>
      <c r="F34" t="s">
        <v>20</v>
      </c>
      <c r="G34" t="s">
        <v>44</v>
      </c>
      <c r="H34">
        <v>5</v>
      </c>
      <c r="I34" s="20">
        <v>2280</v>
      </c>
      <c r="J34" s="20">
        <v>11400</v>
      </c>
    </row>
    <row r="35" spans="1:10" hidden="1" x14ac:dyDescent="0.35">
      <c r="A35" t="s">
        <v>105</v>
      </c>
      <c r="B35" s="2">
        <v>45687</v>
      </c>
      <c r="C35" t="s">
        <v>81</v>
      </c>
      <c r="D35" t="s">
        <v>58</v>
      </c>
      <c r="E35" t="s">
        <v>59</v>
      </c>
      <c r="F35" t="s">
        <v>20</v>
      </c>
      <c r="G35" t="s">
        <v>44</v>
      </c>
      <c r="H35">
        <v>4</v>
      </c>
      <c r="I35" s="20">
        <v>7200</v>
      </c>
      <c r="J35" s="20">
        <v>28800</v>
      </c>
    </row>
    <row r="36" spans="1:10" hidden="1" x14ac:dyDescent="0.35">
      <c r="A36" t="s">
        <v>106</v>
      </c>
      <c r="B36" s="2">
        <v>45690</v>
      </c>
      <c r="C36" t="s">
        <v>107</v>
      </c>
      <c r="D36" t="s">
        <v>108</v>
      </c>
      <c r="E36" t="s">
        <v>84</v>
      </c>
      <c r="F36" t="s">
        <v>14</v>
      </c>
      <c r="G36" t="s">
        <v>100</v>
      </c>
      <c r="H36">
        <v>2</v>
      </c>
      <c r="I36" s="20">
        <v>84</v>
      </c>
      <c r="J36" s="20">
        <v>168</v>
      </c>
    </row>
    <row r="37" spans="1:10" hidden="1" x14ac:dyDescent="0.35">
      <c r="A37" t="s">
        <v>109</v>
      </c>
      <c r="B37" s="2">
        <v>45692</v>
      </c>
      <c r="C37" t="s">
        <v>23</v>
      </c>
      <c r="D37" t="s">
        <v>28</v>
      </c>
      <c r="E37" t="s">
        <v>29</v>
      </c>
      <c r="F37" t="s">
        <v>39</v>
      </c>
      <c r="G37" t="s">
        <v>40</v>
      </c>
      <c r="H37">
        <v>6</v>
      </c>
      <c r="I37" s="20">
        <v>1140</v>
      </c>
      <c r="J37" s="20">
        <v>6840</v>
      </c>
    </row>
    <row r="38" spans="1:10" hidden="1" x14ac:dyDescent="0.35">
      <c r="A38" t="s">
        <v>110</v>
      </c>
      <c r="B38" s="2">
        <v>45692</v>
      </c>
      <c r="C38" t="s">
        <v>75</v>
      </c>
      <c r="D38" t="s">
        <v>43</v>
      </c>
      <c r="E38" t="s">
        <v>35</v>
      </c>
      <c r="F38" t="s">
        <v>30</v>
      </c>
      <c r="G38" t="s">
        <v>71</v>
      </c>
      <c r="H38">
        <v>5</v>
      </c>
      <c r="I38" s="20">
        <v>6500</v>
      </c>
      <c r="J38" s="20">
        <v>32500</v>
      </c>
    </row>
    <row r="39" spans="1:10" hidden="1" x14ac:dyDescent="0.35">
      <c r="A39" t="s">
        <v>111</v>
      </c>
      <c r="B39" s="2">
        <v>45698</v>
      </c>
      <c r="C39" t="s">
        <v>67</v>
      </c>
      <c r="D39" t="s">
        <v>83</v>
      </c>
      <c r="E39" t="s">
        <v>84</v>
      </c>
      <c r="F39" t="s">
        <v>14</v>
      </c>
      <c r="G39" t="s">
        <v>25</v>
      </c>
      <c r="H39">
        <v>3</v>
      </c>
      <c r="I39" s="20">
        <v>120</v>
      </c>
      <c r="J39" s="20">
        <v>360</v>
      </c>
    </row>
    <row r="40" spans="1:10" hidden="1" x14ac:dyDescent="0.35">
      <c r="A40" t="s">
        <v>112</v>
      </c>
      <c r="B40" s="2">
        <v>45703</v>
      </c>
      <c r="C40" t="s">
        <v>97</v>
      </c>
      <c r="D40" t="s">
        <v>24</v>
      </c>
      <c r="E40" t="s">
        <v>13</v>
      </c>
      <c r="F40" t="s">
        <v>30</v>
      </c>
      <c r="G40" t="s">
        <v>71</v>
      </c>
      <c r="H40">
        <v>3</v>
      </c>
      <c r="I40" s="20">
        <v>2520</v>
      </c>
      <c r="J40" s="20">
        <v>7560</v>
      </c>
    </row>
    <row r="41" spans="1:10" hidden="1" x14ac:dyDescent="0.35">
      <c r="A41" t="s">
        <v>113</v>
      </c>
      <c r="B41" s="2">
        <v>45704</v>
      </c>
      <c r="C41" t="s">
        <v>64</v>
      </c>
      <c r="D41" t="s">
        <v>18</v>
      </c>
      <c r="E41" t="s">
        <v>19</v>
      </c>
      <c r="F41" t="s">
        <v>39</v>
      </c>
      <c r="G41" t="s">
        <v>65</v>
      </c>
      <c r="H41">
        <v>2</v>
      </c>
      <c r="I41" s="20">
        <v>1800</v>
      </c>
      <c r="J41" s="20">
        <v>3600</v>
      </c>
    </row>
    <row r="42" spans="1:10" hidden="1" x14ac:dyDescent="0.35">
      <c r="A42" t="s">
        <v>114</v>
      </c>
      <c r="B42" s="2">
        <v>45704</v>
      </c>
      <c r="C42" t="s">
        <v>115</v>
      </c>
      <c r="D42" t="s">
        <v>12</v>
      </c>
      <c r="E42" t="s">
        <v>13</v>
      </c>
      <c r="F42" t="s">
        <v>20</v>
      </c>
      <c r="G42" t="s">
        <v>116</v>
      </c>
      <c r="H42">
        <v>4</v>
      </c>
      <c r="I42" s="20">
        <v>2940</v>
      </c>
      <c r="J42" s="20">
        <v>11760</v>
      </c>
    </row>
    <row r="43" spans="1:10" hidden="1" x14ac:dyDescent="0.35">
      <c r="A43" t="s">
        <v>117</v>
      </c>
      <c r="B43" s="2">
        <v>45704</v>
      </c>
      <c r="C43" t="s">
        <v>62</v>
      </c>
      <c r="D43" t="s">
        <v>12</v>
      </c>
      <c r="E43" t="s">
        <v>13</v>
      </c>
      <c r="F43" t="s">
        <v>30</v>
      </c>
      <c r="G43" t="s">
        <v>31</v>
      </c>
      <c r="H43">
        <v>2</v>
      </c>
      <c r="I43" s="20">
        <v>2800</v>
      </c>
      <c r="J43" s="20">
        <v>5600</v>
      </c>
    </row>
    <row r="44" spans="1:10" hidden="1" x14ac:dyDescent="0.35">
      <c r="A44" t="s">
        <v>118</v>
      </c>
      <c r="B44" s="2">
        <v>45705</v>
      </c>
      <c r="C44" t="s">
        <v>119</v>
      </c>
      <c r="D44" t="s">
        <v>108</v>
      </c>
      <c r="E44" t="s">
        <v>84</v>
      </c>
      <c r="F44" t="s">
        <v>39</v>
      </c>
      <c r="G44" t="s">
        <v>50</v>
      </c>
      <c r="H44">
        <v>1</v>
      </c>
      <c r="I44" s="20">
        <v>80</v>
      </c>
      <c r="J44" s="20">
        <v>80</v>
      </c>
    </row>
    <row r="45" spans="1:10" hidden="1" x14ac:dyDescent="0.35">
      <c r="A45" t="s">
        <v>120</v>
      </c>
      <c r="B45" s="2">
        <v>45705</v>
      </c>
      <c r="C45" t="s">
        <v>121</v>
      </c>
      <c r="D45" t="s">
        <v>108</v>
      </c>
      <c r="E45" t="s">
        <v>84</v>
      </c>
      <c r="F45" t="s">
        <v>30</v>
      </c>
      <c r="G45" t="s">
        <v>36</v>
      </c>
      <c r="H45">
        <v>3</v>
      </c>
      <c r="I45" s="20">
        <v>76</v>
      </c>
      <c r="J45" s="20">
        <v>228</v>
      </c>
    </row>
    <row r="46" spans="1:10" hidden="1" x14ac:dyDescent="0.35">
      <c r="A46" t="s">
        <v>122</v>
      </c>
      <c r="B46" s="2">
        <v>45707</v>
      </c>
      <c r="C46" t="s">
        <v>123</v>
      </c>
      <c r="D46" t="s">
        <v>24</v>
      </c>
      <c r="E46" t="s">
        <v>13</v>
      </c>
      <c r="F46" t="s">
        <v>30</v>
      </c>
      <c r="G46" t="s">
        <v>124</v>
      </c>
      <c r="H46">
        <v>5</v>
      </c>
      <c r="I46" s="20">
        <v>2520</v>
      </c>
      <c r="J46" s="20">
        <v>12600</v>
      </c>
    </row>
    <row r="47" spans="1:10" hidden="1" x14ac:dyDescent="0.35">
      <c r="A47" t="s">
        <v>125</v>
      </c>
      <c r="B47" s="2">
        <v>45707</v>
      </c>
      <c r="C47" t="s">
        <v>126</v>
      </c>
      <c r="D47" t="s">
        <v>83</v>
      </c>
      <c r="E47" t="s">
        <v>84</v>
      </c>
      <c r="F47" t="s">
        <v>30</v>
      </c>
      <c r="G47" t="s">
        <v>31</v>
      </c>
      <c r="H47">
        <v>2</v>
      </c>
      <c r="I47" s="20">
        <v>120</v>
      </c>
      <c r="J47" s="20">
        <v>240</v>
      </c>
    </row>
    <row r="48" spans="1:10" hidden="1" x14ac:dyDescent="0.35">
      <c r="A48" t="s">
        <v>127</v>
      </c>
      <c r="B48" s="2">
        <v>45707</v>
      </c>
      <c r="C48" t="s">
        <v>128</v>
      </c>
      <c r="D48" t="s">
        <v>58</v>
      </c>
      <c r="E48" t="s">
        <v>59</v>
      </c>
      <c r="F48" t="s">
        <v>30</v>
      </c>
      <c r="G48" t="s">
        <v>124</v>
      </c>
      <c r="H48">
        <v>4</v>
      </c>
      <c r="I48" s="20">
        <v>7200</v>
      </c>
      <c r="J48" s="20">
        <v>28800</v>
      </c>
    </row>
    <row r="49" spans="1:10" hidden="1" x14ac:dyDescent="0.35">
      <c r="A49" t="s">
        <v>129</v>
      </c>
      <c r="B49" s="2">
        <v>45708</v>
      </c>
      <c r="C49" t="s">
        <v>48</v>
      </c>
      <c r="D49" t="s">
        <v>12</v>
      </c>
      <c r="E49" t="s">
        <v>13</v>
      </c>
      <c r="F49" t="s">
        <v>20</v>
      </c>
      <c r="G49" t="s">
        <v>21</v>
      </c>
      <c r="H49">
        <v>3</v>
      </c>
      <c r="I49" s="20">
        <v>2800</v>
      </c>
      <c r="J49" s="20">
        <v>8400</v>
      </c>
    </row>
    <row r="50" spans="1:10" hidden="1" x14ac:dyDescent="0.35">
      <c r="A50" t="s">
        <v>130</v>
      </c>
      <c r="B50" s="2">
        <v>45709</v>
      </c>
      <c r="C50" t="s">
        <v>131</v>
      </c>
      <c r="D50" t="s">
        <v>108</v>
      </c>
      <c r="E50" t="s">
        <v>84</v>
      </c>
      <c r="F50" t="s">
        <v>20</v>
      </c>
      <c r="G50" t="s">
        <v>21</v>
      </c>
      <c r="H50">
        <v>2</v>
      </c>
      <c r="I50" s="20">
        <v>80</v>
      </c>
      <c r="J50" s="20">
        <v>160</v>
      </c>
    </row>
    <row r="51" spans="1:10" hidden="1" x14ac:dyDescent="0.35">
      <c r="A51" t="s">
        <v>132</v>
      </c>
      <c r="B51" s="2">
        <v>45710</v>
      </c>
      <c r="C51" t="s">
        <v>133</v>
      </c>
      <c r="D51" t="s">
        <v>38</v>
      </c>
      <c r="E51" t="s">
        <v>29</v>
      </c>
      <c r="F51" t="s">
        <v>20</v>
      </c>
      <c r="G51" t="s">
        <v>116</v>
      </c>
      <c r="H51">
        <v>3</v>
      </c>
      <c r="I51" s="20">
        <v>2090</v>
      </c>
      <c r="J51" s="20">
        <v>6270</v>
      </c>
    </row>
    <row r="52" spans="1:10" hidden="1" x14ac:dyDescent="0.35">
      <c r="A52" t="s">
        <v>134</v>
      </c>
      <c r="B52" s="2">
        <v>45710</v>
      </c>
      <c r="C52" t="s">
        <v>46</v>
      </c>
      <c r="D52" t="s">
        <v>70</v>
      </c>
      <c r="E52" t="s">
        <v>13</v>
      </c>
      <c r="F52" t="s">
        <v>39</v>
      </c>
      <c r="G52" t="s">
        <v>50</v>
      </c>
      <c r="H52">
        <v>2</v>
      </c>
      <c r="I52" s="20">
        <v>10500</v>
      </c>
      <c r="J52" s="20">
        <v>21000</v>
      </c>
    </row>
    <row r="53" spans="1:10" hidden="1" x14ac:dyDescent="0.35">
      <c r="A53" t="s">
        <v>135</v>
      </c>
      <c r="B53" s="2">
        <v>45710</v>
      </c>
      <c r="C53" t="s">
        <v>136</v>
      </c>
      <c r="D53" t="s">
        <v>49</v>
      </c>
      <c r="E53" t="s">
        <v>29</v>
      </c>
      <c r="F53" t="s">
        <v>30</v>
      </c>
      <c r="G53" t="s">
        <v>71</v>
      </c>
      <c r="H53">
        <v>2</v>
      </c>
      <c r="I53" s="20">
        <v>1500</v>
      </c>
      <c r="J53" s="20">
        <v>3000</v>
      </c>
    </row>
    <row r="54" spans="1:10" hidden="1" x14ac:dyDescent="0.35">
      <c r="A54" t="s">
        <v>137</v>
      </c>
      <c r="B54" s="2">
        <v>45712</v>
      </c>
      <c r="C54" t="s">
        <v>138</v>
      </c>
      <c r="D54" t="s">
        <v>49</v>
      </c>
      <c r="E54" t="s">
        <v>29</v>
      </c>
      <c r="F54" t="s">
        <v>39</v>
      </c>
      <c r="G54" t="s">
        <v>40</v>
      </c>
      <c r="H54">
        <v>3</v>
      </c>
      <c r="I54" s="20">
        <v>1500</v>
      </c>
      <c r="J54" s="20">
        <v>4500</v>
      </c>
    </row>
    <row r="55" spans="1:10" hidden="1" x14ac:dyDescent="0.35">
      <c r="A55" t="s">
        <v>139</v>
      </c>
      <c r="B55" s="2">
        <v>45713</v>
      </c>
      <c r="C55" t="s">
        <v>140</v>
      </c>
      <c r="D55" t="s">
        <v>43</v>
      </c>
      <c r="E55" t="s">
        <v>35</v>
      </c>
      <c r="F55" t="s">
        <v>14</v>
      </c>
      <c r="G55" t="s">
        <v>25</v>
      </c>
      <c r="H55">
        <v>1</v>
      </c>
      <c r="I55" s="20">
        <v>6825</v>
      </c>
      <c r="J55" s="20">
        <v>6825</v>
      </c>
    </row>
    <row r="56" spans="1:10" hidden="1" x14ac:dyDescent="0.35">
      <c r="A56" t="s">
        <v>141</v>
      </c>
      <c r="B56" s="2">
        <v>45713</v>
      </c>
      <c r="C56" t="s">
        <v>99</v>
      </c>
      <c r="D56" t="s">
        <v>43</v>
      </c>
      <c r="E56" t="s">
        <v>35</v>
      </c>
      <c r="F56" t="s">
        <v>39</v>
      </c>
      <c r="G56" t="s">
        <v>65</v>
      </c>
      <c r="H56">
        <v>2</v>
      </c>
      <c r="I56" s="20">
        <v>6825</v>
      </c>
      <c r="J56" s="20">
        <v>13650</v>
      </c>
    </row>
    <row r="57" spans="1:10" hidden="1" x14ac:dyDescent="0.35">
      <c r="A57" t="s">
        <v>142</v>
      </c>
      <c r="B57" s="2">
        <v>45714</v>
      </c>
      <c r="C57" t="s">
        <v>143</v>
      </c>
      <c r="D57" t="s">
        <v>70</v>
      </c>
      <c r="E57" t="s">
        <v>13</v>
      </c>
      <c r="F57" t="s">
        <v>20</v>
      </c>
      <c r="G57" t="s">
        <v>44</v>
      </c>
      <c r="H57">
        <v>3</v>
      </c>
      <c r="I57" s="20">
        <v>10500</v>
      </c>
      <c r="J57" s="20">
        <v>31500</v>
      </c>
    </row>
    <row r="58" spans="1:10" hidden="1" x14ac:dyDescent="0.35">
      <c r="A58" t="s">
        <v>144</v>
      </c>
      <c r="B58" s="2">
        <v>45714</v>
      </c>
      <c r="C58" t="s">
        <v>52</v>
      </c>
      <c r="D58" t="s">
        <v>18</v>
      </c>
      <c r="E58" t="s">
        <v>19</v>
      </c>
      <c r="F58" t="s">
        <v>14</v>
      </c>
      <c r="G58" t="s">
        <v>15</v>
      </c>
      <c r="H58">
        <v>4</v>
      </c>
      <c r="I58" s="20">
        <v>1890</v>
      </c>
      <c r="J58" s="20">
        <v>7560</v>
      </c>
    </row>
    <row r="59" spans="1:10" hidden="1" x14ac:dyDescent="0.35">
      <c r="A59" t="s">
        <v>145</v>
      </c>
      <c r="B59" s="2">
        <v>45715</v>
      </c>
      <c r="C59" t="s">
        <v>97</v>
      </c>
      <c r="D59" t="s">
        <v>54</v>
      </c>
      <c r="E59" t="s">
        <v>19</v>
      </c>
      <c r="F59" t="s">
        <v>30</v>
      </c>
      <c r="G59" t="s">
        <v>31</v>
      </c>
      <c r="H59">
        <v>1</v>
      </c>
      <c r="I59" s="20">
        <v>900</v>
      </c>
      <c r="J59" s="20">
        <v>900</v>
      </c>
    </row>
    <row r="60" spans="1:10" hidden="1" x14ac:dyDescent="0.35">
      <c r="A60" t="s">
        <v>146</v>
      </c>
      <c r="B60" s="2">
        <v>45716</v>
      </c>
      <c r="C60" t="s">
        <v>147</v>
      </c>
      <c r="D60" t="s">
        <v>148</v>
      </c>
      <c r="E60" t="s">
        <v>29</v>
      </c>
      <c r="F60" t="s">
        <v>14</v>
      </c>
      <c r="G60" t="s">
        <v>68</v>
      </c>
      <c r="H60">
        <v>4</v>
      </c>
      <c r="I60" s="20">
        <v>650</v>
      </c>
      <c r="J60" s="20">
        <v>2600</v>
      </c>
    </row>
    <row r="61" spans="1:10" hidden="1" x14ac:dyDescent="0.35">
      <c r="A61" t="s">
        <v>149</v>
      </c>
      <c r="B61" s="2">
        <v>45717</v>
      </c>
      <c r="C61" t="s">
        <v>123</v>
      </c>
      <c r="D61" t="s">
        <v>49</v>
      </c>
      <c r="E61" t="s">
        <v>29</v>
      </c>
      <c r="F61" t="s">
        <v>39</v>
      </c>
      <c r="G61" t="s">
        <v>76</v>
      </c>
      <c r="H61">
        <v>1</v>
      </c>
      <c r="I61" s="20">
        <v>1575</v>
      </c>
      <c r="J61" s="20">
        <v>1575</v>
      </c>
    </row>
    <row r="62" spans="1:10" hidden="1" x14ac:dyDescent="0.35">
      <c r="A62" t="s">
        <v>150</v>
      </c>
      <c r="B62" s="2">
        <v>45717</v>
      </c>
      <c r="C62" t="s">
        <v>42</v>
      </c>
      <c r="D62" t="s">
        <v>151</v>
      </c>
      <c r="E62" t="s">
        <v>13</v>
      </c>
      <c r="F62" t="s">
        <v>14</v>
      </c>
      <c r="G62" t="s">
        <v>100</v>
      </c>
      <c r="H62">
        <v>2</v>
      </c>
      <c r="I62" s="20">
        <v>3200</v>
      </c>
      <c r="J62" s="20">
        <v>6400</v>
      </c>
    </row>
    <row r="63" spans="1:10" hidden="1" x14ac:dyDescent="0.35">
      <c r="A63" t="s">
        <v>152</v>
      </c>
      <c r="B63" s="2">
        <v>45718</v>
      </c>
      <c r="C63" t="s">
        <v>79</v>
      </c>
      <c r="D63" t="s">
        <v>108</v>
      </c>
      <c r="E63" t="s">
        <v>84</v>
      </c>
      <c r="F63" t="s">
        <v>39</v>
      </c>
      <c r="G63" t="s">
        <v>76</v>
      </c>
      <c r="H63">
        <v>3</v>
      </c>
      <c r="I63" s="20">
        <v>84</v>
      </c>
      <c r="J63" s="20">
        <v>252</v>
      </c>
    </row>
    <row r="64" spans="1:10" hidden="1" x14ac:dyDescent="0.35">
      <c r="A64" t="s">
        <v>153</v>
      </c>
      <c r="B64" s="2">
        <v>45720</v>
      </c>
      <c r="C64" t="s">
        <v>17</v>
      </c>
      <c r="D64" t="s">
        <v>70</v>
      </c>
      <c r="E64" t="s">
        <v>13</v>
      </c>
      <c r="F64" t="s">
        <v>39</v>
      </c>
      <c r="G64" t="s">
        <v>76</v>
      </c>
      <c r="H64">
        <v>6</v>
      </c>
      <c r="I64" s="20">
        <v>10500</v>
      </c>
      <c r="J64" s="20">
        <v>63000</v>
      </c>
    </row>
    <row r="65" spans="1:10" hidden="1" x14ac:dyDescent="0.35">
      <c r="A65" t="s">
        <v>154</v>
      </c>
      <c r="B65" s="2">
        <v>45722</v>
      </c>
      <c r="C65" t="s">
        <v>155</v>
      </c>
      <c r="D65" t="s">
        <v>108</v>
      </c>
      <c r="E65" t="s">
        <v>84</v>
      </c>
      <c r="F65" t="s">
        <v>14</v>
      </c>
      <c r="G65" t="s">
        <v>100</v>
      </c>
      <c r="H65">
        <v>3</v>
      </c>
      <c r="I65" s="20">
        <v>76</v>
      </c>
      <c r="J65" s="20">
        <v>228</v>
      </c>
    </row>
    <row r="66" spans="1:10" hidden="1" x14ac:dyDescent="0.35">
      <c r="A66" t="s">
        <v>156</v>
      </c>
      <c r="B66" s="2">
        <v>45722</v>
      </c>
      <c r="C66" t="s">
        <v>42</v>
      </c>
      <c r="D66" t="s">
        <v>34</v>
      </c>
      <c r="E66" t="s">
        <v>35</v>
      </c>
      <c r="F66" t="s">
        <v>30</v>
      </c>
      <c r="G66" t="s">
        <v>71</v>
      </c>
      <c r="H66">
        <v>3</v>
      </c>
      <c r="I66" s="20">
        <v>735</v>
      </c>
      <c r="J66" s="20">
        <v>2205</v>
      </c>
    </row>
    <row r="67" spans="1:10" hidden="1" x14ac:dyDescent="0.35">
      <c r="A67" t="s">
        <v>157</v>
      </c>
      <c r="B67" s="2">
        <v>45723</v>
      </c>
      <c r="C67" t="s">
        <v>158</v>
      </c>
      <c r="D67" t="s">
        <v>12</v>
      </c>
      <c r="E67" t="s">
        <v>13</v>
      </c>
      <c r="F67" t="s">
        <v>39</v>
      </c>
      <c r="G67" t="s">
        <v>40</v>
      </c>
      <c r="H67">
        <v>2</v>
      </c>
      <c r="I67" s="20">
        <v>2800</v>
      </c>
      <c r="J67" s="20">
        <v>5600</v>
      </c>
    </row>
    <row r="68" spans="1:10" hidden="1" x14ac:dyDescent="0.35">
      <c r="A68" t="s">
        <v>159</v>
      </c>
      <c r="B68" s="2">
        <v>45724</v>
      </c>
      <c r="C68" t="s">
        <v>97</v>
      </c>
      <c r="D68" t="s">
        <v>34</v>
      </c>
      <c r="E68" t="s">
        <v>35</v>
      </c>
      <c r="F68" t="s">
        <v>20</v>
      </c>
      <c r="G68" t="s">
        <v>21</v>
      </c>
      <c r="H68">
        <v>5</v>
      </c>
      <c r="I68" s="20">
        <v>665</v>
      </c>
      <c r="J68" s="20">
        <v>3325</v>
      </c>
    </row>
    <row r="69" spans="1:10" hidden="1" x14ac:dyDescent="0.35">
      <c r="A69" t="s">
        <v>160</v>
      </c>
      <c r="B69" s="2">
        <v>45724</v>
      </c>
      <c r="C69" t="s">
        <v>161</v>
      </c>
      <c r="D69" t="s">
        <v>38</v>
      </c>
      <c r="E69" t="s">
        <v>29</v>
      </c>
      <c r="F69" t="s">
        <v>30</v>
      </c>
      <c r="G69" t="s">
        <v>31</v>
      </c>
      <c r="H69">
        <v>2</v>
      </c>
      <c r="I69" s="20">
        <v>2200</v>
      </c>
      <c r="J69" s="20">
        <v>4400</v>
      </c>
    </row>
    <row r="70" spans="1:10" hidden="1" x14ac:dyDescent="0.35">
      <c r="A70" t="s">
        <v>162</v>
      </c>
      <c r="B70" s="2">
        <v>45725</v>
      </c>
      <c r="C70" t="s">
        <v>52</v>
      </c>
      <c r="D70" t="s">
        <v>83</v>
      </c>
      <c r="E70" t="s">
        <v>84</v>
      </c>
      <c r="F70" t="s">
        <v>39</v>
      </c>
      <c r="G70" t="s">
        <v>76</v>
      </c>
      <c r="H70">
        <v>1</v>
      </c>
      <c r="I70" s="20">
        <v>120</v>
      </c>
      <c r="J70" s="20">
        <v>120</v>
      </c>
    </row>
    <row r="71" spans="1:10" hidden="1" x14ac:dyDescent="0.35">
      <c r="A71" t="s">
        <v>163</v>
      </c>
      <c r="B71" s="2">
        <v>45726</v>
      </c>
      <c r="C71" t="s">
        <v>164</v>
      </c>
      <c r="D71" t="s">
        <v>165</v>
      </c>
      <c r="E71" t="s">
        <v>59</v>
      </c>
      <c r="F71" t="s">
        <v>30</v>
      </c>
      <c r="G71" t="s">
        <v>71</v>
      </c>
      <c r="H71">
        <v>1</v>
      </c>
      <c r="I71" s="20">
        <v>1155</v>
      </c>
      <c r="J71" s="20">
        <v>1155</v>
      </c>
    </row>
    <row r="72" spans="1:10" hidden="1" x14ac:dyDescent="0.35">
      <c r="A72" t="s">
        <v>166</v>
      </c>
      <c r="B72" s="2">
        <v>45727</v>
      </c>
      <c r="C72" t="s">
        <v>126</v>
      </c>
      <c r="D72" t="s">
        <v>38</v>
      </c>
      <c r="E72" t="s">
        <v>29</v>
      </c>
      <c r="F72" t="s">
        <v>20</v>
      </c>
      <c r="G72" t="s">
        <v>85</v>
      </c>
      <c r="H72">
        <v>4</v>
      </c>
      <c r="I72" s="20">
        <v>2200</v>
      </c>
      <c r="J72" s="20">
        <v>8800</v>
      </c>
    </row>
    <row r="73" spans="1:10" hidden="1" x14ac:dyDescent="0.35">
      <c r="A73" t="s">
        <v>167</v>
      </c>
      <c r="B73" s="2">
        <v>45727</v>
      </c>
      <c r="C73" t="s">
        <v>115</v>
      </c>
      <c r="D73" t="s">
        <v>18</v>
      </c>
      <c r="E73" t="s">
        <v>19</v>
      </c>
      <c r="F73" t="s">
        <v>30</v>
      </c>
      <c r="G73" t="s">
        <v>71</v>
      </c>
      <c r="H73">
        <v>1</v>
      </c>
      <c r="I73" s="20">
        <v>1800</v>
      </c>
      <c r="J73" s="20">
        <v>1800</v>
      </c>
    </row>
    <row r="74" spans="1:10" hidden="1" x14ac:dyDescent="0.35">
      <c r="A74" t="s">
        <v>168</v>
      </c>
      <c r="B74" s="2">
        <v>45728</v>
      </c>
      <c r="C74" t="s">
        <v>23</v>
      </c>
      <c r="D74" t="s">
        <v>83</v>
      </c>
      <c r="E74" t="s">
        <v>84</v>
      </c>
      <c r="F74" t="s">
        <v>39</v>
      </c>
      <c r="G74" t="s">
        <v>65</v>
      </c>
      <c r="H74">
        <v>2</v>
      </c>
      <c r="I74" s="20">
        <v>120</v>
      </c>
      <c r="J74" s="20">
        <v>240</v>
      </c>
    </row>
    <row r="75" spans="1:10" hidden="1" x14ac:dyDescent="0.35">
      <c r="A75" t="s">
        <v>169</v>
      </c>
      <c r="B75" s="2">
        <v>45729</v>
      </c>
      <c r="C75" t="s">
        <v>104</v>
      </c>
      <c r="D75" t="s">
        <v>43</v>
      </c>
      <c r="E75" t="s">
        <v>35</v>
      </c>
      <c r="F75" t="s">
        <v>30</v>
      </c>
      <c r="G75" t="s">
        <v>36</v>
      </c>
      <c r="H75">
        <v>5</v>
      </c>
      <c r="I75" s="20">
        <v>6175</v>
      </c>
      <c r="J75" s="20">
        <v>30875</v>
      </c>
    </row>
    <row r="76" spans="1:10" hidden="1" x14ac:dyDescent="0.35">
      <c r="A76" t="s">
        <v>170</v>
      </c>
      <c r="B76" s="2">
        <v>45729</v>
      </c>
      <c r="C76" t="s">
        <v>171</v>
      </c>
      <c r="D76" t="s">
        <v>38</v>
      </c>
      <c r="E76" t="s">
        <v>29</v>
      </c>
      <c r="F76" t="s">
        <v>20</v>
      </c>
      <c r="G76" t="s">
        <v>116</v>
      </c>
      <c r="H76">
        <v>3</v>
      </c>
      <c r="I76" s="20">
        <v>2200</v>
      </c>
      <c r="J76" s="20">
        <v>6600</v>
      </c>
    </row>
    <row r="77" spans="1:10" hidden="1" x14ac:dyDescent="0.35">
      <c r="A77" t="s">
        <v>172</v>
      </c>
      <c r="B77" s="2">
        <v>45729</v>
      </c>
      <c r="C77" t="s">
        <v>42</v>
      </c>
      <c r="D77" t="s">
        <v>12</v>
      </c>
      <c r="E77" t="s">
        <v>13</v>
      </c>
      <c r="F77" t="s">
        <v>30</v>
      </c>
      <c r="G77" t="s">
        <v>36</v>
      </c>
      <c r="H77">
        <v>5</v>
      </c>
      <c r="I77" s="20">
        <v>2660</v>
      </c>
      <c r="J77" s="20">
        <v>13300</v>
      </c>
    </row>
    <row r="78" spans="1:10" hidden="1" x14ac:dyDescent="0.35">
      <c r="A78" t="s">
        <v>173</v>
      </c>
      <c r="B78" s="2">
        <v>45730</v>
      </c>
      <c r="C78" t="s">
        <v>174</v>
      </c>
      <c r="D78" t="s">
        <v>38</v>
      </c>
      <c r="E78" t="s">
        <v>29</v>
      </c>
      <c r="F78" t="s">
        <v>30</v>
      </c>
      <c r="G78" t="s">
        <v>71</v>
      </c>
      <c r="H78">
        <v>1</v>
      </c>
      <c r="I78" s="20">
        <v>2200</v>
      </c>
      <c r="J78" s="20">
        <v>2200</v>
      </c>
    </row>
    <row r="79" spans="1:10" hidden="1" x14ac:dyDescent="0.35">
      <c r="A79" t="s">
        <v>175</v>
      </c>
      <c r="B79" s="2">
        <v>45730</v>
      </c>
      <c r="C79" t="s">
        <v>17</v>
      </c>
      <c r="D79" t="s">
        <v>34</v>
      </c>
      <c r="E79" t="s">
        <v>35</v>
      </c>
      <c r="F79" t="s">
        <v>14</v>
      </c>
      <c r="G79" t="s">
        <v>68</v>
      </c>
      <c r="H79">
        <v>3</v>
      </c>
      <c r="I79" s="20">
        <v>700</v>
      </c>
      <c r="J79" s="20">
        <v>2100</v>
      </c>
    </row>
    <row r="80" spans="1:10" hidden="1" x14ac:dyDescent="0.35">
      <c r="A80" t="s">
        <v>176</v>
      </c>
      <c r="B80" s="2">
        <v>45731</v>
      </c>
      <c r="C80" t="s">
        <v>147</v>
      </c>
      <c r="D80" t="s">
        <v>108</v>
      </c>
      <c r="E80" t="s">
        <v>84</v>
      </c>
      <c r="F80" t="s">
        <v>20</v>
      </c>
      <c r="G80" t="s">
        <v>44</v>
      </c>
      <c r="H80">
        <v>6</v>
      </c>
      <c r="I80" s="20">
        <v>80</v>
      </c>
      <c r="J80" s="20">
        <v>480</v>
      </c>
    </row>
    <row r="81" spans="1:10" hidden="1" x14ac:dyDescent="0.35">
      <c r="A81" t="s">
        <v>177</v>
      </c>
      <c r="B81" s="2">
        <v>45733</v>
      </c>
      <c r="C81" t="s">
        <v>178</v>
      </c>
      <c r="D81" t="s">
        <v>148</v>
      </c>
      <c r="E81" t="s">
        <v>29</v>
      </c>
      <c r="F81" t="s">
        <v>20</v>
      </c>
      <c r="G81" t="s">
        <v>44</v>
      </c>
      <c r="H81">
        <v>1</v>
      </c>
      <c r="I81" s="20">
        <v>650</v>
      </c>
      <c r="J81" s="20">
        <v>650</v>
      </c>
    </row>
    <row r="82" spans="1:10" hidden="1" x14ac:dyDescent="0.35">
      <c r="A82" t="s">
        <v>179</v>
      </c>
      <c r="B82" s="2">
        <v>45733</v>
      </c>
      <c r="C82" t="s">
        <v>46</v>
      </c>
      <c r="D82" t="s">
        <v>148</v>
      </c>
      <c r="E82" t="s">
        <v>29</v>
      </c>
      <c r="F82" t="s">
        <v>14</v>
      </c>
      <c r="G82" t="s">
        <v>25</v>
      </c>
      <c r="H82">
        <v>6</v>
      </c>
      <c r="I82" s="20">
        <v>617.5</v>
      </c>
      <c r="J82" s="20">
        <v>3705</v>
      </c>
    </row>
    <row r="83" spans="1:10" hidden="1" x14ac:dyDescent="0.35">
      <c r="A83" t="s">
        <v>180</v>
      </c>
      <c r="B83" s="2">
        <v>45733</v>
      </c>
      <c r="C83" t="s">
        <v>181</v>
      </c>
      <c r="D83" t="s">
        <v>108</v>
      </c>
      <c r="E83" t="s">
        <v>84</v>
      </c>
      <c r="F83" t="s">
        <v>14</v>
      </c>
      <c r="G83" t="s">
        <v>15</v>
      </c>
      <c r="H83">
        <v>1</v>
      </c>
      <c r="I83" s="20">
        <v>80</v>
      </c>
      <c r="J83" s="20">
        <v>80</v>
      </c>
    </row>
    <row r="84" spans="1:10" hidden="1" x14ac:dyDescent="0.35">
      <c r="A84" t="s">
        <v>182</v>
      </c>
      <c r="B84" s="2">
        <v>45734</v>
      </c>
      <c r="C84" t="s">
        <v>183</v>
      </c>
      <c r="D84" t="s">
        <v>54</v>
      </c>
      <c r="E84" t="s">
        <v>19</v>
      </c>
      <c r="F84" t="s">
        <v>30</v>
      </c>
      <c r="G84" t="s">
        <v>36</v>
      </c>
      <c r="H84">
        <v>1</v>
      </c>
      <c r="I84" s="20">
        <v>900</v>
      </c>
      <c r="J84" s="20">
        <v>900</v>
      </c>
    </row>
    <row r="85" spans="1:10" hidden="1" x14ac:dyDescent="0.35">
      <c r="A85" t="s">
        <v>184</v>
      </c>
      <c r="B85" s="2">
        <v>45735</v>
      </c>
      <c r="C85" t="s">
        <v>119</v>
      </c>
      <c r="D85" t="s">
        <v>58</v>
      </c>
      <c r="E85" t="s">
        <v>59</v>
      </c>
      <c r="F85" t="s">
        <v>30</v>
      </c>
      <c r="G85" t="s">
        <v>36</v>
      </c>
      <c r="H85">
        <v>1</v>
      </c>
      <c r="I85" s="20">
        <v>7200</v>
      </c>
      <c r="J85" s="20">
        <v>7200</v>
      </c>
    </row>
    <row r="86" spans="1:10" hidden="1" x14ac:dyDescent="0.35">
      <c r="A86" t="s">
        <v>185</v>
      </c>
      <c r="B86" s="2">
        <v>45737</v>
      </c>
      <c r="C86" t="s">
        <v>186</v>
      </c>
      <c r="D86" t="s">
        <v>38</v>
      </c>
      <c r="E86" t="s">
        <v>29</v>
      </c>
      <c r="F86" t="s">
        <v>20</v>
      </c>
      <c r="G86" t="s">
        <v>85</v>
      </c>
      <c r="H86">
        <v>2</v>
      </c>
      <c r="I86" s="20">
        <v>2090</v>
      </c>
      <c r="J86" s="20">
        <v>4180</v>
      </c>
    </row>
    <row r="87" spans="1:10" hidden="1" x14ac:dyDescent="0.35">
      <c r="A87" t="s">
        <v>187</v>
      </c>
      <c r="B87" s="2">
        <v>45737</v>
      </c>
      <c r="C87" t="s">
        <v>188</v>
      </c>
      <c r="D87" t="s">
        <v>34</v>
      </c>
      <c r="E87" t="s">
        <v>35</v>
      </c>
      <c r="F87" t="s">
        <v>20</v>
      </c>
      <c r="G87" t="s">
        <v>44</v>
      </c>
      <c r="H87">
        <v>1</v>
      </c>
      <c r="I87" s="20">
        <v>665</v>
      </c>
      <c r="J87" s="20">
        <v>665</v>
      </c>
    </row>
    <row r="88" spans="1:10" hidden="1" x14ac:dyDescent="0.35">
      <c r="A88" t="s">
        <v>189</v>
      </c>
      <c r="B88" s="2">
        <v>45738</v>
      </c>
      <c r="C88" t="s">
        <v>81</v>
      </c>
      <c r="D88" t="s">
        <v>38</v>
      </c>
      <c r="E88" t="s">
        <v>29</v>
      </c>
      <c r="F88" t="s">
        <v>30</v>
      </c>
      <c r="G88" t="s">
        <v>71</v>
      </c>
      <c r="H88">
        <v>2</v>
      </c>
      <c r="I88" s="20">
        <v>2200</v>
      </c>
      <c r="J88" s="20">
        <v>4400</v>
      </c>
    </row>
    <row r="89" spans="1:10" hidden="1" x14ac:dyDescent="0.35">
      <c r="A89" t="s">
        <v>190</v>
      </c>
      <c r="B89" s="2">
        <v>45738</v>
      </c>
      <c r="C89" t="s">
        <v>23</v>
      </c>
      <c r="D89" t="s">
        <v>28</v>
      </c>
      <c r="E89" t="s">
        <v>29</v>
      </c>
      <c r="F89" t="s">
        <v>14</v>
      </c>
      <c r="G89" t="s">
        <v>100</v>
      </c>
      <c r="H89">
        <v>4</v>
      </c>
      <c r="I89" s="20">
        <v>1200</v>
      </c>
      <c r="J89" s="20">
        <v>4800</v>
      </c>
    </row>
    <row r="90" spans="1:10" hidden="1" x14ac:dyDescent="0.35">
      <c r="A90" t="s">
        <v>191</v>
      </c>
      <c r="B90" s="2">
        <v>45741</v>
      </c>
      <c r="C90" t="s">
        <v>192</v>
      </c>
      <c r="D90" t="s">
        <v>151</v>
      </c>
      <c r="E90" t="s">
        <v>13</v>
      </c>
      <c r="F90" t="s">
        <v>39</v>
      </c>
      <c r="G90" t="s">
        <v>40</v>
      </c>
      <c r="H90">
        <v>6</v>
      </c>
      <c r="I90" s="20">
        <v>3040</v>
      </c>
      <c r="J90" s="20">
        <v>18240</v>
      </c>
    </row>
    <row r="91" spans="1:10" hidden="1" x14ac:dyDescent="0.35">
      <c r="A91" t="s">
        <v>193</v>
      </c>
      <c r="B91" s="2">
        <v>45742</v>
      </c>
      <c r="C91" t="s">
        <v>119</v>
      </c>
      <c r="D91" t="s">
        <v>58</v>
      </c>
      <c r="E91" t="s">
        <v>59</v>
      </c>
      <c r="F91" t="s">
        <v>20</v>
      </c>
      <c r="G91" t="s">
        <v>44</v>
      </c>
      <c r="H91">
        <v>6</v>
      </c>
      <c r="I91" s="20">
        <v>7560</v>
      </c>
      <c r="J91" s="20">
        <v>45360</v>
      </c>
    </row>
    <row r="92" spans="1:10" hidden="1" x14ac:dyDescent="0.35">
      <c r="A92" t="s">
        <v>194</v>
      </c>
      <c r="B92" s="2">
        <v>45743</v>
      </c>
      <c r="C92" t="s">
        <v>33</v>
      </c>
      <c r="D92" t="s">
        <v>49</v>
      </c>
      <c r="E92" t="s">
        <v>29</v>
      </c>
      <c r="F92" t="s">
        <v>30</v>
      </c>
      <c r="G92" t="s">
        <v>124</v>
      </c>
      <c r="H92">
        <v>5</v>
      </c>
      <c r="I92" s="20">
        <v>1500</v>
      </c>
      <c r="J92" s="20">
        <v>7500</v>
      </c>
    </row>
    <row r="93" spans="1:10" hidden="1" x14ac:dyDescent="0.35">
      <c r="A93" t="s">
        <v>195</v>
      </c>
      <c r="B93" s="2">
        <v>45743</v>
      </c>
      <c r="C93" t="s">
        <v>155</v>
      </c>
      <c r="D93" t="s">
        <v>108</v>
      </c>
      <c r="E93" t="s">
        <v>84</v>
      </c>
      <c r="F93" t="s">
        <v>14</v>
      </c>
      <c r="G93" t="s">
        <v>68</v>
      </c>
      <c r="H93">
        <v>2</v>
      </c>
      <c r="I93" s="20">
        <v>80</v>
      </c>
      <c r="J93" s="20">
        <v>160</v>
      </c>
    </row>
    <row r="94" spans="1:10" hidden="1" x14ac:dyDescent="0.35">
      <c r="A94" t="s">
        <v>196</v>
      </c>
      <c r="B94" s="2">
        <v>45744</v>
      </c>
      <c r="C94" t="s">
        <v>11</v>
      </c>
      <c r="D94" t="s">
        <v>70</v>
      </c>
      <c r="E94" t="s">
        <v>13</v>
      </c>
      <c r="F94" t="s">
        <v>14</v>
      </c>
      <c r="G94" t="s">
        <v>25</v>
      </c>
      <c r="H94">
        <v>2</v>
      </c>
      <c r="I94" s="20">
        <v>10500</v>
      </c>
      <c r="J94" s="20">
        <v>21000</v>
      </c>
    </row>
    <row r="95" spans="1:10" hidden="1" x14ac:dyDescent="0.35">
      <c r="A95" t="s">
        <v>197</v>
      </c>
      <c r="B95" s="2">
        <v>45746</v>
      </c>
      <c r="C95" t="s">
        <v>198</v>
      </c>
      <c r="D95" t="s">
        <v>38</v>
      </c>
      <c r="E95" t="s">
        <v>29</v>
      </c>
      <c r="F95" t="s">
        <v>14</v>
      </c>
      <c r="G95" t="s">
        <v>100</v>
      </c>
      <c r="H95">
        <v>1</v>
      </c>
      <c r="I95" s="20">
        <v>2200</v>
      </c>
      <c r="J95" s="20">
        <v>2200</v>
      </c>
    </row>
    <row r="96" spans="1:10" hidden="1" x14ac:dyDescent="0.35">
      <c r="A96" t="s">
        <v>199</v>
      </c>
      <c r="B96" s="2">
        <v>45748</v>
      </c>
      <c r="C96" t="s">
        <v>171</v>
      </c>
      <c r="D96" t="s">
        <v>34</v>
      </c>
      <c r="E96" t="s">
        <v>35</v>
      </c>
      <c r="F96" t="s">
        <v>14</v>
      </c>
      <c r="G96" t="s">
        <v>100</v>
      </c>
      <c r="H96">
        <v>3</v>
      </c>
      <c r="I96" s="20">
        <v>735</v>
      </c>
      <c r="J96" s="20">
        <v>2205</v>
      </c>
    </row>
    <row r="97" spans="1:10" hidden="1" x14ac:dyDescent="0.35">
      <c r="A97" t="s">
        <v>200</v>
      </c>
      <c r="B97" s="2">
        <v>45749</v>
      </c>
      <c r="C97" t="s">
        <v>52</v>
      </c>
      <c r="D97" t="s">
        <v>18</v>
      </c>
      <c r="E97" t="s">
        <v>19</v>
      </c>
      <c r="F97" t="s">
        <v>39</v>
      </c>
      <c r="G97" t="s">
        <v>40</v>
      </c>
      <c r="H97">
        <v>1</v>
      </c>
      <c r="I97" s="20">
        <v>1890</v>
      </c>
      <c r="J97" s="20">
        <v>1890</v>
      </c>
    </row>
    <row r="98" spans="1:10" hidden="1" x14ac:dyDescent="0.35">
      <c r="A98" t="s">
        <v>201</v>
      </c>
      <c r="B98" s="2">
        <v>45749</v>
      </c>
      <c r="C98" t="s">
        <v>128</v>
      </c>
      <c r="D98" t="s">
        <v>83</v>
      </c>
      <c r="E98" t="s">
        <v>84</v>
      </c>
      <c r="F98" t="s">
        <v>20</v>
      </c>
      <c r="G98" t="s">
        <v>116</v>
      </c>
      <c r="H98">
        <v>3</v>
      </c>
      <c r="I98" s="20">
        <v>120</v>
      </c>
      <c r="J98" s="20">
        <v>360</v>
      </c>
    </row>
    <row r="99" spans="1:10" hidden="1" x14ac:dyDescent="0.35">
      <c r="A99" t="s">
        <v>202</v>
      </c>
      <c r="B99" s="2">
        <v>45750</v>
      </c>
      <c r="C99" t="s">
        <v>131</v>
      </c>
      <c r="D99" t="s">
        <v>34</v>
      </c>
      <c r="E99" t="s">
        <v>35</v>
      </c>
      <c r="F99" t="s">
        <v>30</v>
      </c>
      <c r="G99" t="s">
        <v>36</v>
      </c>
      <c r="H99">
        <v>4</v>
      </c>
      <c r="I99" s="20">
        <v>700</v>
      </c>
      <c r="J99" s="20">
        <v>2800</v>
      </c>
    </row>
    <row r="100" spans="1:10" hidden="1" x14ac:dyDescent="0.35">
      <c r="A100" t="s">
        <v>203</v>
      </c>
      <c r="B100" s="2">
        <v>45750</v>
      </c>
      <c r="C100" t="s">
        <v>181</v>
      </c>
      <c r="D100" t="s">
        <v>70</v>
      </c>
      <c r="E100" t="s">
        <v>13</v>
      </c>
      <c r="F100" t="s">
        <v>20</v>
      </c>
      <c r="G100" t="s">
        <v>21</v>
      </c>
      <c r="H100">
        <v>3</v>
      </c>
      <c r="I100" s="20">
        <v>10500</v>
      </c>
      <c r="J100" s="20">
        <v>31500</v>
      </c>
    </row>
    <row r="101" spans="1:10" hidden="1" x14ac:dyDescent="0.35">
      <c r="A101" t="s">
        <v>204</v>
      </c>
      <c r="B101" s="2">
        <v>45751</v>
      </c>
      <c r="C101" t="s">
        <v>99</v>
      </c>
      <c r="D101" t="s">
        <v>34</v>
      </c>
      <c r="E101" t="s">
        <v>35</v>
      </c>
      <c r="F101" t="s">
        <v>14</v>
      </c>
      <c r="G101" t="s">
        <v>68</v>
      </c>
      <c r="H101">
        <v>3</v>
      </c>
      <c r="I101" s="20">
        <v>665</v>
      </c>
      <c r="J101" s="20">
        <v>1995</v>
      </c>
    </row>
    <row r="102" spans="1:10" hidden="1" x14ac:dyDescent="0.35">
      <c r="A102" t="s">
        <v>205</v>
      </c>
      <c r="B102" s="2">
        <v>45753</v>
      </c>
      <c r="C102" t="s">
        <v>181</v>
      </c>
      <c r="D102" t="s">
        <v>108</v>
      </c>
      <c r="E102" t="s">
        <v>84</v>
      </c>
      <c r="F102" t="s">
        <v>14</v>
      </c>
      <c r="G102" t="s">
        <v>68</v>
      </c>
      <c r="H102">
        <v>2</v>
      </c>
      <c r="I102" s="20">
        <v>84</v>
      </c>
      <c r="J102" s="20">
        <v>168</v>
      </c>
    </row>
    <row r="103" spans="1:10" hidden="1" x14ac:dyDescent="0.35">
      <c r="A103" t="s">
        <v>206</v>
      </c>
      <c r="B103" s="2">
        <v>45758</v>
      </c>
      <c r="C103" t="s">
        <v>188</v>
      </c>
      <c r="D103" t="s">
        <v>58</v>
      </c>
      <c r="E103" t="s">
        <v>59</v>
      </c>
      <c r="F103" t="s">
        <v>30</v>
      </c>
      <c r="G103" t="s">
        <v>71</v>
      </c>
      <c r="H103">
        <v>1</v>
      </c>
      <c r="I103" s="20">
        <v>7200</v>
      </c>
      <c r="J103" s="20">
        <v>7200</v>
      </c>
    </row>
    <row r="104" spans="1:10" hidden="1" x14ac:dyDescent="0.35">
      <c r="A104" t="s">
        <v>207</v>
      </c>
      <c r="B104" s="2">
        <v>45759</v>
      </c>
      <c r="C104" t="s">
        <v>208</v>
      </c>
      <c r="D104" t="s">
        <v>58</v>
      </c>
      <c r="E104" t="s">
        <v>59</v>
      </c>
      <c r="F104" t="s">
        <v>20</v>
      </c>
      <c r="G104" t="s">
        <v>21</v>
      </c>
      <c r="H104">
        <v>3</v>
      </c>
      <c r="I104" s="20">
        <v>7200</v>
      </c>
      <c r="J104" s="20">
        <v>21600</v>
      </c>
    </row>
    <row r="105" spans="1:10" hidden="1" x14ac:dyDescent="0.35">
      <c r="A105" t="s">
        <v>209</v>
      </c>
      <c r="B105" s="2">
        <v>45762</v>
      </c>
      <c r="C105" t="s">
        <v>174</v>
      </c>
      <c r="D105" t="s">
        <v>34</v>
      </c>
      <c r="E105" t="s">
        <v>35</v>
      </c>
      <c r="F105" t="s">
        <v>14</v>
      </c>
      <c r="G105" t="s">
        <v>100</v>
      </c>
      <c r="H105">
        <v>3</v>
      </c>
      <c r="I105" s="20">
        <v>700</v>
      </c>
      <c r="J105" s="20">
        <v>2100</v>
      </c>
    </row>
    <row r="106" spans="1:10" hidden="1" x14ac:dyDescent="0.35">
      <c r="A106" t="s">
        <v>210</v>
      </c>
      <c r="B106" s="2">
        <v>45763</v>
      </c>
      <c r="C106" t="s">
        <v>211</v>
      </c>
      <c r="D106" t="s">
        <v>108</v>
      </c>
      <c r="E106" t="s">
        <v>84</v>
      </c>
      <c r="F106" t="s">
        <v>20</v>
      </c>
      <c r="G106" t="s">
        <v>44</v>
      </c>
      <c r="H106">
        <v>2</v>
      </c>
      <c r="I106" s="20">
        <v>84</v>
      </c>
      <c r="J106" s="20">
        <v>168</v>
      </c>
    </row>
    <row r="107" spans="1:10" hidden="1" x14ac:dyDescent="0.35">
      <c r="A107" t="s">
        <v>212</v>
      </c>
      <c r="B107" s="2">
        <v>45765</v>
      </c>
      <c r="C107" t="s">
        <v>188</v>
      </c>
      <c r="D107" t="s">
        <v>24</v>
      </c>
      <c r="E107" t="s">
        <v>13</v>
      </c>
      <c r="F107" t="s">
        <v>14</v>
      </c>
      <c r="G107" t="s">
        <v>25</v>
      </c>
      <c r="H107">
        <v>6</v>
      </c>
      <c r="I107" s="20">
        <v>2520</v>
      </c>
      <c r="J107" s="20">
        <v>15120</v>
      </c>
    </row>
    <row r="108" spans="1:10" hidden="1" x14ac:dyDescent="0.35">
      <c r="A108" t="s">
        <v>213</v>
      </c>
      <c r="B108" s="2">
        <v>45766</v>
      </c>
      <c r="C108" t="s">
        <v>131</v>
      </c>
      <c r="D108" t="s">
        <v>70</v>
      </c>
      <c r="E108" t="s">
        <v>13</v>
      </c>
      <c r="F108" t="s">
        <v>30</v>
      </c>
      <c r="G108" t="s">
        <v>124</v>
      </c>
      <c r="H108">
        <v>5</v>
      </c>
      <c r="I108" s="20">
        <v>10500</v>
      </c>
      <c r="J108" s="20">
        <v>52500</v>
      </c>
    </row>
    <row r="109" spans="1:10" hidden="1" x14ac:dyDescent="0.35">
      <c r="A109" t="s">
        <v>214</v>
      </c>
      <c r="B109" s="2">
        <v>45767</v>
      </c>
      <c r="C109" t="s">
        <v>215</v>
      </c>
      <c r="D109" t="s">
        <v>70</v>
      </c>
      <c r="E109" t="s">
        <v>13</v>
      </c>
      <c r="F109" t="s">
        <v>14</v>
      </c>
      <c r="G109" t="s">
        <v>25</v>
      </c>
      <c r="H109">
        <v>4</v>
      </c>
      <c r="I109" s="20">
        <v>11025</v>
      </c>
      <c r="J109" s="20">
        <v>44100</v>
      </c>
    </row>
    <row r="110" spans="1:10" hidden="1" x14ac:dyDescent="0.35">
      <c r="A110" t="s">
        <v>216</v>
      </c>
      <c r="B110" s="2">
        <v>45767</v>
      </c>
      <c r="C110" t="s">
        <v>62</v>
      </c>
      <c r="D110" t="s">
        <v>34</v>
      </c>
      <c r="E110" t="s">
        <v>35</v>
      </c>
      <c r="F110" t="s">
        <v>20</v>
      </c>
      <c r="G110" t="s">
        <v>21</v>
      </c>
      <c r="H110">
        <v>1</v>
      </c>
      <c r="I110" s="20">
        <v>700</v>
      </c>
      <c r="J110" s="20">
        <v>700</v>
      </c>
    </row>
    <row r="111" spans="1:10" hidden="1" x14ac:dyDescent="0.35">
      <c r="A111" t="s">
        <v>217</v>
      </c>
      <c r="B111" s="2">
        <v>45767</v>
      </c>
      <c r="C111" t="s">
        <v>218</v>
      </c>
      <c r="D111" t="s">
        <v>54</v>
      </c>
      <c r="E111" t="s">
        <v>19</v>
      </c>
      <c r="F111" t="s">
        <v>39</v>
      </c>
      <c r="G111" t="s">
        <v>65</v>
      </c>
      <c r="H111">
        <v>8</v>
      </c>
      <c r="I111" s="20">
        <v>900</v>
      </c>
      <c r="J111" s="20">
        <v>7200</v>
      </c>
    </row>
    <row r="112" spans="1:10" hidden="1" x14ac:dyDescent="0.35">
      <c r="A112" t="s">
        <v>219</v>
      </c>
      <c r="B112" s="2">
        <v>45768</v>
      </c>
      <c r="C112" t="s">
        <v>220</v>
      </c>
      <c r="D112" t="s">
        <v>43</v>
      </c>
      <c r="E112" t="s">
        <v>35</v>
      </c>
      <c r="F112" t="s">
        <v>20</v>
      </c>
      <c r="G112" t="s">
        <v>85</v>
      </c>
      <c r="H112">
        <v>2</v>
      </c>
      <c r="I112" s="20">
        <v>6500</v>
      </c>
      <c r="J112" s="20">
        <v>13000</v>
      </c>
    </row>
    <row r="113" spans="1:10" hidden="1" x14ac:dyDescent="0.35">
      <c r="A113" t="s">
        <v>221</v>
      </c>
      <c r="B113" s="2">
        <v>45770</v>
      </c>
      <c r="C113" t="s">
        <v>158</v>
      </c>
      <c r="D113" t="s">
        <v>34</v>
      </c>
      <c r="E113" t="s">
        <v>35</v>
      </c>
      <c r="F113" t="s">
        <v>14</v>
      </c>
      <c r="G113" t="s">
        <v>15</v>
      </c>
      <c r="H113">
        <v>2</v>
      </c>
      <c r="I113" s="20">
        <v>665</v>
      </c>
      <c r="J113" s="20">
        <v>1330</v>
      </c>
    </row>
    <row r="114" spans="1:10" hidden="1" x14ac:dyDescent="0.35">
      <c r="A114" t="s">
        <v>222</v>
      </c>
      <c r="B114" s="2">
        <v>45770</v>
      </c>
      <c r="C114" t="s">
        <v>128</v>
      </c>
      <c r="D114" t="s">
        <v>83</v>
      </c>
      <c r="E114" t="s">
        <v>84</v>
      </c>
      <c r="F114" t="s">
        <v>20</v>
      </c>
      <c r="G114" t="s">
        <v>21</v>
      </c>
      <c r="H114">
        <v>10</v>
      </c>
      <c r="I114" s="20">
        <v>114</v>
      </c>
      <c r="J114" s="20">
        <v>1140</v>
      </c>
    </row>
    <row r="115" spans="1:10" hidden="1" x14ac:dyDescent="0.35">
      <c r="A115" t="s">
        <v>223</v>
      </c>
      <c r="B115" s="2">
        <v>45771</v>
      </c>
      <c r="C115" t="s">
        <v>67</v>
      </c>
      <c r="D115" t="s">
        <v>12</v>
      </c>
      <c r="E115" t="s">
        <v>13</v>
      </c>
      <c r="F115" t="s">
        <v>30</v>
      </c>
      <c r="G115" t="s">
        <v>36</v>
      </c>
      <c r="H115">
        <v>5</v>
      </c>
      <c r="I115" s="20">
        <v>2800</v>
      </c>
      <c r="J115" s="20">
        <v>14000</v>
      </c>
    </row>
    <row r="116" spans="1:10" hidden="1" x14ac:dyDescent="0.35">
      <c r="A116" t="s">
        <v>224</v>
      </c>
      <c r="B116" s="2">
        <v>45772</v>
      </c>
      <c r="C116" t="s">
        <v>11</v>
      </c>
      <c r="D116" t="s">
        <v>148</v>
      </c>
      <c r="E116" t="s">
        <v>29</v>
      </c>
      <c r="F116" t="s">
        <v>30</v>
      </c>
      <c r="G116" t="s">
        <v>36</v>
      </c>
      <c r="H116">
        <v>4</v>
      </c>
      <c r="I116" s="20">
        <v>650</v>
      </c>
      <c r="J116" s="20">
        <v>2600</v>
      </c>
    </row>
    <row r="117" spans="1:10" hidden="1" x14ac:dyDescent="0.35">
      <c r="A117" t="s">
        <v>225</v>
      </c>
      <c r="B117" s="2">
        <v>45772</v>
      </c>
      <c r="C117" t="s">
        <v>226</v>
      </c>
      <c r="D117" t="s">
        <v>49</v>
      </c>
      <c r="E117" t="s">
        <v>29</v>
      </c>
      <c r="F117" t="s">
        <v>30</v>
      </c>
      <c r="G117" t="s">
        <v>124</v>
      </c>
      <c r="H117">
        <v>2</v>
      </c>
      <c r="I117" s="20">
        <v>1575</v>
      </c>
      <c r="J117" s="20">
        <v>3150</v>
      </c>
    </row>
    <row r="118" spans="1:10" hidden="1" x14ac:dyDescent="0.35">
      <c r="A118" t="s">
        <v>227</v>
      </c>
      <c r="B118" s="2">
        <v>45773</v>
      </c>
      <c r="C118" t="s">
        <v>198</v>
      </c>
      <c r="D118" t="s">
        <v>49</v>
      </c>
      <c r="E118" t="s">
        <v>29</v>
      </c>
      <c r="F118" t="s">
        <v>39</v>
      </c>
      <c r="G118" t="s">
        <v>76</v>
      </c>
      <c r="H118">
        <v>3</v>
      </c>
      <c r="I118" s="20">
        <v>1425</v>
      </c>
      <c r="J118" s="20">
        <v>4275</v>
      </c>
    </row>
    <row r="119" spans="1:10" hidden="1" x14ac:dyDescent="0.35">
      <c r="A119" t="s">
        <v>228</v>
      </c>
      <c r="B119" s="2">
        <v>45775</v>
      </c>
      <c r="C119" t="s">
        <v>133</v>
      </c>
      <c r="D119" t="s">
        <v>28</v>
      </c>
      <c r="E119" t="s">
        <v>29</v>
      </c>
      <c r="F119" t="s">
        <v>30</v>
      </c>
      <c r="G119" t="s">
        <v>124</v>
      </c>
      <c r="H119">
        <v>5</v>
      </c>
      <c r="I119" s="20">
        <v>1200</v>
      </c>
      <c r="J119" s="20">
        <v>6000</v>
      </c>
    </row>
    <row r="120" spans="1:10" hidden="1" x14ac:dyDescent="0.35">
      <c r="A120" t="s">
        <v>229</v>
      </c>
      <c r="B120" s="2">
        <v>45775</v>
      </c>
      <c r="C120" t="s">
        <v>215</v>
      </c>
      <c r="D120" t="s">
        <v>148</v>
      </c>
      <c r="E120" t="s">
        <v>29</v>
      </c>
      <c r="F120" t="s">
        <v>20</v>
      </c>
      <c r="G120" t="s">
        <v>21</v>
      </c>
      <c r="H120">
        <v>10</v>
      </c>
      <c r="I120" s="20">
        <v>650</v>
      </c>
      <c r="J120" s="20">
        <v>6500</v>
      </c>
    </row>
    <row r="121" spans="1:10" hidden="1" x14ac:dyDescent="0.35">
      <c r="A121" t="s">
        <v>230</v>
      </c>
      <c r="B121" s="2">
        <v>45776</v>
      </c>
      <c r="C121" t="s">
        <v>181</v>
      </c>
      <c r="D121" t="s">
        <v>38</v>
      </c>
      <c r="E121" t="s">
        <v>29</v>
      </c>
      <c r="F121" t="s">
        <v>14</v>
      </c>
      <c r="G121" t="s">
        <v>15</v>
      </c>
      <c r="H121">
        <v>2</v>
      </c>
      <c r="I121" s="20">
        <v>2310</v>
      </c>
      <c r="J121" s="20">
        <v>4620</v>
      </c>
    </row>
    <row r="122" spans="1:10" hidden="1" x14ac:dyDescent="0.35">
      <c r="A122" t="s">
        <v>231</v>
      </c>
      <c r="B122" s="2">
        <v>45777</v>
      </c>
      <c r="C122" t="s">
        <v>79</v>
      </c>
      <c r="D122" t="s">
        <v>148</v>
      </c>
      <c r="E122" t="s">
        <v>29</v>
      </c>
      <c r="F122" t="s">
        <v>14</v>
      </c>
      <c r="G122" t="s">
        <v>25</v>
      </c>
      <c r="H122">
        <v>3</v>
      </c>
      <c r="I122" s="20">
        <v>682.5</v>
      </c>
      <c r="J122" s="20">
        <v>2047.5</v>
      </c>
    </row>
    <row r="123" spans="1:10" hidden="1" x14ac:dyDescent="0.35">
      <c r="A123" t="s">
        <v>232</v>
      </c>
      <c r="B123" s="2">
        <v>45777</v>
      </c>
      <c r="C123" t="s">
        <v>62</v>
      </c>
      <c r="D123" t="s">
        <v>49</v>
      </c>
      <c r="E123" t="s">
        <v>29</v>
      </c>
      <c r="F123" t="s">
        <v>30</v>
      </c>
      <c r="G123" t="s">
        <v>31</v>
      </c>
      <c r="H123">
        <v>2</v>
      </c>
      <c r="I123" s="20">
        <v>1500</v>
      </c>
      <c r="J123" s="20">
        <v>3000</v>
      </c>
    </row>
    <row r="124" spans="1:10" hidden="1" x14ac:dyDescent="0.35">
      <c r="A124" t="s">
        <v>233</v>
      </c>
      <c r="B124" s="2">
        <v>45777</v>
      </c>
      <c r="C124" t="s">
        <v>234</v>
      </c>
      <c r="D124" t="s">
        <v>43</v>
      </c>
      <c r="E124" t="s">
        <v>35</v>
      </c>
      <c r="F124" t="s">
        <v>39</v>
      </c>
      <c r="G124" t="s">
        <v>40</v>
      </c>
      <c r="H124">
        <v>2</v>
      </c>
      <c r="I124" s="20">
        <v>6500</v>
      </c>
      <c r="J124" s="20">
        <v>13000</v>
      </c>
    </row>
    <row r="125" spans="1:10" hidden="1" x14ac:dyDescent="0.35">
      <c r="A125" t="s">
        <v>235</v>
      </c>
      <c r="B125" s="2">
        <v>45782</v>
      </c>
      <c r="C125" t="s">
        <v>91</v>
      </c>
      <c r="D125" t="s">
        <v>58</v>
      </c>
      <c r="E125" t="s">
        <v>59</v>
      </c>
      <c r="F125" t="s">
        <v>30</v>
      </c>
      <c r="G125" t="s">
        <v>124</v>
      </c>
      <c r="H125">
        <v>3</v>
      </c>
      <c r="I125" s="20">
        <v>7200</v>
      </c>
      <c r="J125" s="20">
        <v>21600</v>
      </c>
    </row>
    <row r="126" spans="1:10" hidden="1" x14ac:dyDescent="0.35">
      <c r="A126" t="s">
        <v>236</v>
      </c>
      <c r="B126" s="2">
        <v>45782</v>
      </c>
      <c r="C126" t="s">
        <v>119</v>
      </c>
      <c r="D126" t="s">
        <v>70</v>
      </c>
      <c r="E126" t="s">
        <v>13</v>
      </c>
      <c r="F126" t="s">
        <v>20</v>
      </c>
      <c r="G126" t="s">
        <v>21</v>
      </c>
      <c r="H126">
        <v>5</v>
      </c>
      <c r="I126" s="20">
        <v>10500</v>
      </c>
      <c r="J126" s="20">
        <v>52500</v>
      </c>
    </row>
    <row r="127" spans="1:10" hidden="1" x14ac:dyDescent="0.35">
      <c r="A127" t="s">
        <v>237</v>
      </c>
      <c r="B127" s="2">
        <v>45784</v>
      </c>
      <c r="C127" t="s">
        <v>208</v>
      </c>
      <c r="D127" t="s">
        <v>28</v>
      </c>
      <c r="E127" t="s">
        <v>29</v>
      </c>
      <c r="F127" t="s">
        <v>30</v>
      </c>
      <c r="G127" t="s">
        <v>36</v>
      </c>
      <c r="H127">
        <v>3</v>
      </c>
      <c r="I127" s="20">
        <v>1200</v>
      </c>
      <c r="J127" s="20">
        <v>3600</v>
      </c>
    </row>
    <row r="128" spans="1:10" hidden="1" x14ac:dyDescent="0.35">
      <c r="A128" t="s">
        <v>238</v>
      </c>
      <c r="B128" s="2">
        <v>45786</v>
      </c>
      <c r="C128" t="s">
        <v>239</v>
      </c>
      <c r="D128" t="s">
        <v>43</v>
      </c>
      <c r="E128" t="s">
        <v>35</v>
      </c>
      <c r="F128" t="s">
        <v>39</v>
      </c>
      <c r="G128" t="s">
        <v>76</v>
      </c>
      <c r="H128">
        <v>4</v>
      </c>
      <c r="I128" s="20">
        <v>6500</v>
      </c>
      <c r="J128" s="20">
        <v>26000</v>
      </c>
    </row>
    <row r="129" spans="1:10" hidden="1" x14ac:dyDescent="0.35">
      <c r="A129" t="s">
        <v>240</v>
      </c>
      <c r="B129" s="2">
        <v>45787</v>
      </c>
      <c r="C129" t="s">
        <v>56</v>
      </c>
      <c r="D129" t="s">
        <v>165</v>
      </c>
      <c r="E129" t="s">
        <v>59</v>
      </c>
      <c r="F129" t="s">
        <v>14</v>
      </c>
      <c r="G129" t="s">
        <v>100</v>
      </c>
      <c r="H129">
        <v>1</v>
      </c>
      <c r="I129" s="20">
        <v>1045</v>
      </c>
      <c r="J129" s="20">
        <v>1045</v>
      </c>
    </row>
    <row r="130" spans="1:10" hidden="1" x14ac:dyDescent="0.35">
      <c r="A130" t="s">
        <v>241</v>
      </c>
      <c r="B130" s="2">
        <v>45791</v>
      </c>
      <c r="C130" t="s">
        <v>42</v>
      </c>
      <c r="D130" t="s">
        <v>151</v>
      </c>
      <c r="E130" t="s">
        <v>13</v>
      </c>
      <c r="F130" t="s">
        <v>20</v>
      </c>
      <c r="G130" t="s">
        <v>116</v>
      </c>
      <c r="H130">
        <v>3</v>
      </c>
      <c r="I130" s="20">
        <v>3200</v>
      </c>
      <c r="J130" s="20">
        <v>9600</v>
      </c>
    </row>
    <row r="131" spans="1:10" hidden="1" x14ac:dyDescent="0.35">
      <c r="A131" t="s">
        <v>242</v>
      </c>
      <c r="B131" s="2">
        <v>45791</v>
      </c>
      <c r="C131" t="s">
        <v>126</v>
      </c>
      <c r="D131" t="s">
        <v>58</v>
      </c>
      <c r="E131" t="s">
        <v>59</v>
      </c>
      <c r="F131" t="s">
        <v>30</v>
      </c>
      <c r="G131" t="s">
        <v>71</v>
      </c>
      <c r="H131">
        <v>1</v>
      </c>
      <c r="I131" s="20">
        <v>7560</v>
      </c>
      <c r="J131" s="20">
        <v>7560</v>
      </c>
    </row>
    <row r="132" spans="1:10" hidden="1" x14ac:dyDescent="0.35">
      <c r="A132" t="s">
        <v>243</v>
      </c>
      <c r="B132" s="2">
        <v>45792</v>
      </c>
      <c r="C132" t="s">
        <v>73</v>
      </c>
      <c r="D132" t="s">
        <v>151</v>
      </c>
      <c r="E132" t="s">
        <v>13</v>
      </c>
      <c r="F132" t="s">
        <v>30</v>
      </c>
      <c r="G132" t="s">
        <v>31</v>
      </c>
      <c r="H132">
        <v>3</v>
      </c>
      <c r="I132" s="20">
        <v>3040</v>
      </c>
      <c r="J132" s="20">
        <v>9120</v>
      </c>
    </row>
    <row r="133" spans="1:10" hidden="1" x14ac:dyDescent="0.35">
      <c r="A133" t="s">
        <v>244</v>
      </c>
      <c r="B133" s="2">
        <v>45793</v>
      </c>
      <c r="C133" t="s">
        <v>33</v>
      </c>
      <c r="D133" t="s">
        <v>70</v>
      </c>
      <c r="E133" t="s">
        <v>13</v>
      </c>
      <c r="F133" t="s">
        <v>30</v>
      </c>
      <c r="G133" t="s">
        <v>71</v>
      </c>
      <c r="H133">
        <v>2</v>
      </c>
      <c r="I133" s="20">
        <v>11025</v>
      </c>
      <c r="J133" s="20">
        <v>22050</v>
      </c>
    </row>
    <row r="134" spans="1:10" hidden="1" x14ac:dyDescent="0.35">
      <c r="A134" t="s">
        <v>245</v>
      </c>
      <c r="B134" s="2">
        <v>45793</v>
      </c>
      <c r="C134" t="s">
        <v>246</v>
      </c>
      <c r="D134" t="s">
        <v>12</v>
      </c>
      <c r="E134" t="s">
        <v>13</v>
      </c>
      <c r="F134" t="s">
        <v>39</v>
      </c>
      <c r="G134" t="s">
        <v>65</v>
      </c>
      <c r="H134">
        <v>2</v>
      </c>
      <c r="I134" s="20">
        <v>2940</v>
      </c>
      <c r="J134" s="20">
        <v>5880</v>
      </c>
    </row>
    <row r="135" spans="1:10" hidden="1" x14ac:dyDescent="0.35">
      <c r="A135" t="s">
        <v>247</v>
      </c>
      <c r="B135" s="2">
        <v>45794</v>
      </c>
      <c r="C135" t="s">
        <v>131</v>
      </c>
      <c r="D135" t="s">
        <v>54</v>
      </c>
      <c r="E135" t="s">
        <v>19</v>
      </c>
      <c r="F135" t="s">
        <v>39</v>
      </c>
      <c r="G135" t="s">
        <v>76</v>
      </c>
      <c r="H135">
        <v>1</v>
      </c>
      <c r="I135" s="20">
        <v>900</v>
      </c>
      <c r="J135" s="20">
        <v>900</v>
      </c>
    </row>
    <row r="136" spans="1:10" hidden="1" x14ac:dyDescent="0.35">
      <c r="A136" t="s">
        <v>248</v>
      </c>
      <c r="B136" s="2">
        <v>45794</v>
      </c>
      <c r="C136" t="s">
        <v>87</v>
      </c>
      <c r="D136" t="s">
        <v>38</v>
      </c>
      <c r="E136" t="s">
        <v>29</v>
      </c>
      <c r="F136" t="s">
        <v>14</v>
      </c>
      <c r="G136" t="s">
        <v>25</v>
      </c>
      <c r="H136">
        <v>4</v>
      </c>
      <c r="I136" s="20">
        <v>2090</v>
      </c>
      <c r="J136" s="20">
        <v>8360</v>
      </c>
    </row>
    <row r="137" spans="1:10" hidden="1" x14ac:dyDescent="0.35">
      <c r="A137" t="s">
        <v>249</v>
      </c>
      <c r="B137" s="2">
        <v>45794</v>
      </c>
      <c r="C137" t="s">
        <v>250</v>
      </c>
      <c r="D137" t="s">
        <v>83</v>
      </c>
      <c r="E137" t="s">
        <v>84</v>
      </c>
      <c r="F137" t="s">
        <v>14</v>
      </c>
      <c r="G137" t="s">
        <v>25</v>
      </c>
      <c r="H137">
        <v>1</v>
      </c>
      <c r="I137" s="20">
        <v>120</v>
      </c>
      <c r="J137" s="20">
        <v>120</v>
      </c>
    </row>
    <row r="138" spans="1:10" hidden="1" x14ac:dyDescent="0.35">
      <c r="A138" t="s">
        <v>251</v>
      </c>
      <c r="B138" s="2">
        <v>45798</v>
      </c>
      <c r="C138" t="s">
        <v>115</v>
      </c>
      <c r="D138" t="s">
        <v>58</v>
      </c>
      <c r="E138" t="s">
        <v>59</v>
      </c>
      <c r="F138" t="s">
        <v>39</v>
      </c>
      <c r="G138" t="s">
        <v>40</v>
      </c>
      <c r="H138">
        <v>1</v>
      </c>
      <c r="I138" s="20">
        <v>7200</v>
      </c>
      <c r="J138" s="20">
        <v>7200</v>
      </c>
    </row>
    <row r="139" spans="1:10" hidden="1" x14ac:dyDescent="0.35">
      <c r="A139" t="s">
        <v>252</v>
      </c>
      <c r="B139" s="2">
        <v>45799</v>
      </c>
      <c r="C139" t="s">
        <v>253</v>
      </c>
      <c r="D139" t="s">
        <v>28</v>
      </c>
      <c r="E139" t="s">
        <v>29</v>
      </c>
      <c r="F139" t="s">
        <v>30</v>
      </c>
      <c r="G139" t="s">
        <v>31</v>
      </c>
      <c r="H139">
        <v>1</v>
      </c>
      <c r="I139" s="20">
        <v>1200</v>
      </c>
      <c r="J139" s="20">
        <v>1200</v>
      </c>
    </row>
    <row r="140" spans="1:10" hidden="1" x14ac:dyDescent="0.35">
      <c r="A140" t="s">
        <v>254</v>
      </c>
      <c r="B140" s="2">
        <v>45799</v>
      </c>
      <c r="C140" t="s">
        <v>155</v>
      </c>
      <c r="D140" t="s">
        <v>18</v>
      </c>
      <c r="E140" t="s">
        <v>19</v>
      </c>
      <c r="F140" t="s">
        <v>30</v>
      </c>
      <c r="G140" t="s">
        <v>31</v>
      </c>
      <c r="H140">
        <v>10</v>
      </c>
      <c r="I140" s="20">
        <v>1800</v>
      </c>
      <c r="J140" s="20">
        <v>18000</v>
      </c>
    </row>
    <row r="141" spans="1:10" hidden="1" x14ac:dyDescent="0.35">
      <c r="A141" t="s">
        <v>255</v>
      </c>
      <c r="B141" s="2">
        <v>45800</v>
      </c>
      <c r="C141" t="s">
        <v>143</v>
      </c>
      <c r="D141" t="s">
        <v>70</v>
      </c>
      <c r="E141" t="s">
        <v>13</v>
      </c>
      <c r="F141" t="s">
        <v>20</v>
      </c>
      <c r="G141" t="s">
        <v>116</v>
      </c>
      <c r="H141">
        <v>1</v>
      </c>
      <c r="I141" s="20">
        <v>10500</v>
      </c>
      <c r="J141" s="20">
        <v>10500</v>
      </c>
    </row>
    <row r="142" spans="1:10" hidden="1" x14ac:dyDescent="0.35">
      <c r="A142" t="s">
        <v>256</v>
      </c>
      <c r="B142" s="2">
        <v>45800</v>
      </c>
      <c r="C142" t="s">
        <v>93</v>
      </c>
      <c r="D142" t="s">
        <v>24</v>
      </c>
      <c r="E142" t="s">
        <v>13</v>
      </c>
      <c r="F142" t="s">
        <v>30</v>
      </c>
      <c r="G142" t="s">
        <v>124</v>
      </c>
      <c r="H142">
        <v>4</v>
      </c>
      <c r="I142" s="20">
        <v>2400</v>
      </c>
      <c r="J142" s="20">
        <v>9600</v>
      </c>
    </row>
    <row r="143" spans="1:10" hidden="1" x14ac:dyDescent="0.35">
      <c r="A143" t="s">
        <v>257</v>
      </c>
      <c r="B143" s="2">
        <v>45800</v>
      </c>
      <c r="C143" t="s">
        <v>23</v>
      </c>
      <c r="D143" t="s">
        <v>18</v>
      </c>
      <c r="E143" t="s">
        <v>19</v>
      </c>
      <c r="F143" t="s">
        <v>30</v>
      </c>
      <c r="G143" t="s">
        <v>31</v>
      </c>
      <c r="H143">
        <v>1</v>
      </c>
      <c r="I143" s="20">
        <v>1800</v>
      </c>
      <c r="J143" s="20">
        <v>1800</v>
      </c>
    </row>
    <row r="144" spans="1:10" hidden="1" x14ac:dyDescent="0.35">
      <c r="A144" t="s">
        <v>258</v>
      </c>
      <c r="B144" s="2">
        <v>45800</v>
      </c>
      <c r="C144" t="s">
        <v>259</v>
      </c>
      <c r="D144" t="s">
        <v>38</v>
      </c>
      <c r="E144" t="s">
        <v>29</v>
      </c>
      <c r="F144" t="s">
        <v>39</v>
      </c>
      <c r="G144" t="s">
        <v>40</v>
      </c>
      <c r="H144">
        <v>3</v>
      </c>
      <c r="I144" s="20">
        <v>2310</v>
      </c>
      <c r="J144" s="20">
        <v>6930</v>
      </c>
    </row>
    <row r="145" spans="1:10" hidden="1" x14ac:dyDescent="0.35">
      <c r="A145" t="s">
        <v>260</v>
      </c>
      <c r="B145" s="2">
        <v>45803</v>
      </c>
      <c r="C145" t="s">
        <v>164</v>
      </c>
      <c r="D145" t="s">
        <v>151</v>
      </c>
      <c r="E145" t="s">
        <v>13</v>
      </c>
      <c r="F145" t="s">
        <v>30</v>
      </c>
      <c r="G145" t="s">
        <v>124</v>
      </c>
      <c r="H145">
        <v>2</v>
      </c>
      <c r="I145" s="20">
        <v>3360</v>
      </c>
      <c r="J145" s="20">
        <v>6720</v>
      </c>
    </row>
    <row r="146" spans="1:10" hidden="1" x14ac:dyDescent="0.35">
      <c r="A146" t="s">
        <v>261</v>
      </c>
      <c r="B146" s="2">
        <v>45803</v>
      </c>
      <c r="C146" t="s">
        <v>126</v>
      </c>
      <c r="D146" t="s">
        <v>54</v>
      </c>
      <c r="E146" t="s">
        <v>19</v>
      </c>
      <c r="F146" t="s">
        <v>30</v>
      </c>
      <c r="G146" t="s">
        <v>31</v>
      </c>
      <c r="H146">
        <v>1</v>
      </c>
      <c r="I146" s="20">
        <v>900</v>
      </c>
      <c r="J146" s="20">
        <v>900</v>
      </c>
    </row>
    <row r="147" spans="1:10" hidden="1" x14ac:dyDescent="0.35">
      <c r="A147" t="s">
        <v>262</v>
      </c>
      <c r="B147" s="2">
        <v>45805</v>
      </c>
      <c r="C147" t="s">
        <v>211</v>
      </c>
      <c r="D147" t="s">
        <v>18</v>
      </c>
      <c r="E147" t="s">
        <v>19</v>
      </c>
      <c r="F147" t="s">
        <v>39</v>
      </c>
      <c r="G147" t="s">
        <v>65</v>
      </c>
      <c r="H147">
        <v>2</v>
      </c>
      <c r="I147" s="20">
        <v>1890</v>
      </c>
      <c r="J147" s="20">
        <v>3780</v>
      </c>
    </row>
    <row r="148" spans="1:10" hidden="1" x14ac:dyDescent="0.35">
      <c r="A148" t="s">
        <v>263</v>
      </c>
      <c r="B148" s="2">
        <v>45805</v>
      </c>
      <c r="C148" t="s">
        <v>64</v>
      </c>
      <c r="D148" t="s">
        <v>38</v>
      </c>
      <c r="E148" t="s">
        <v>29</v>
      </c>
      <c r="F148" t="s">
        <v>30</v>
      </c>
      <c r="G148" t="s">
        <v>124</v>
      </c>
      <c r="H148">
        <v>2</v>
      </c>
      <c r="I148" s="20">
        <v>2200</v>
      </c>
      <c r="J148" s="20">
        <v>4400</v>
      </c>
    </row>
    <row r="149" spans="1:10" hidden="1" x14ac:dyDescent="0.35">
      <c r="A149" t="s">
        <v>264</v>
      </c>
      <c r="B149" s="2">
        <v>45805</v>
      </c>
      <c r="C149" t="s">
        <v>97</v>
      </c>
      <c r="D149" t="s">
        <v>70</v>
      </c>
      <c r="E149" t="s">
        <v>13</v>
      </c>
      <c r="F149" t="s">
        <v>20</v>
      </c>
      <c r="G149" t="s">
        <v>85</v>
      </c>
      <c r="H149">
        <v>1</v>
      </c>
      <c r="I149" s="20">
        <v>10500</v>
      </c>
      <c r="J149" s="20">
        <v>10500</v>
      </c>
    </row>
    <row r="150" spans="1:10" hidden="1" x14ac:dyDescent="0.35">
      <c r="A150" t="s">
        <v>265</v>
      </c>
      <c r="B150" s="2">
        <v>45806</v>
      </c>
      <c r="C150" t="s">
        <v>259</v>
      </c>
      <c r="D150" t="s">
        <v>83</v>
      </c>
      <c r="E150" t="s">
        <v>84</v>
      </c>
      <c r="F150" t="s">
        <v>39</v>
      </c>
      <c r="G150" t="s">
        <v>65</v>
      </c>
      <c r="H150">
        <v>6</v>
      </c>
      <c r="I150" s="20">
        <v>120</v>
      </c>
      <c r="J150" s="20">
        <v>720</v>
      </c>
    </row>
    <row r="151" spans="1:10" hidden="1" x14ac:dyDescent="0.35">
      <c r="A151" t="s">
        <v>266</v>
      </c>
      <c r="B151" s="2">
        <v>45806</v>
      </c>
      <c r="C151" t="s">
        <v>267</v>
      </c>
      <c r="D151" t="s">
        <v>28</v>
      </c>
      <c r="E151" t="s">
        <v>29</v>
      </c>
      <c r="F151" t="s">
        <v>20</v>
      </c>
      <c r="G151" t="s">
        <v>85</v>
      </c>
      <c r="H151">
        <v>1</v>
      </c>
      <c r="I151" s="20">
        <v>1260</v>
      </c>
      <c r="J151" s="20">
        <v>1260</v>
      </c>
    </row>
    <row r="152" spans="1:10" hidden="1" x14ac:dyDescent="0.35">
      <c r="A152" t="s">
        <v>268</v>
      </c>
      <c r="B152" s="2">
        <v>45807</v>
      </c>
      <c r="C152" t="s">
        <v>143</v>
      </c>
      <c r="D152" t="s">
        <v>108</v>
      </c>
      <c r="E152" t="s">
        <v>84</v>
      </c>
      <c r="F152" t="s">
        <v>39</v>
      </c>
      <c r="G152" t="s">
        <v>65</v>
      </c>
      <c r="H152">
        <v>2</v>
      </c>
      <c r="I152" s="20">
        <v>76</v>
      </c>
      <c r="J152" s="20">
        <v>152</v>
      </c>
    </row>
    <row r="153" spans="1:10" hidden="1" x14ac:dyDescent="0.35">
      <c r="A153" t="s">
        <v>269</v>
      </c>
      <c r="B153" s="2">
        <v>45808</v>
      </c>
      <c r="C153" t="s">
        <v>79</v>
      </c>
      <c r="D153" t="s">
        <v>54</v>
      </c>
      <c r="E153" t="s">
        <v>19</v>
      </c>
      <c r="F153" t="s">
        <v>30</v>
      </c>
      <c r="G153" t="s">
        <v>36</v>
      </c>
      <c r="H153">
        <v>1</v>
      </c>
      <c r="I153" s="20">
        <v>900</v>
      </c>
      <c r="J153" s="20">
        <v>900</v>
      </c>
    </row>
    <row r="154" spans="1:10" hidden="1" x14ac:dyDescent="0.35">
      <c r="A154" t="s">
        <v>270</v>
      </c>
      <c r="B154" s="2">
        <v>45809</v>
      </c>
      <c r="C154" t="s">
        <v>250</v>
      </c>
      <c r="D154" t="s">
        <v>54</v>
      </c>
      <c r="E154" t="s">
        <v>19</v>
      </c>
      <c r="F154" t="s">
        <v>20</v>
      </c>
      <c r="G154" t="s">
        <v>21</v>
      </c>
      <c r="H154">
        <v>5</v>
      </c>
      <c r="I154" s="20">
        <v>900</v>
      </c>
      <c r="J154" s="20">
        <v>4500</v>
      </c>
    </row>
    <row r="155" spans="1:10" hidden="1" x14ac:dyDescent="0.35">
      <c r="A155" t="s">
        <v>271</v>
      </c>
      <c r="B155" s="2">
        <v>45809</v>
      </c>
      <c r="C155" t="s">
        <v>143</v>
      </c>
      <c r="D155" t="s">
        <v>43</v>
      </c>
      <c r="E155" t="s">
        <v>35</v>
      </c>
      <c r="F155" t="s">
        <v>30</v>
      </c>
      <c r="G155" t="s">
        <v>31</v>
      </c>
      <c r="H155">
        <v>4</v>
      </c>
      <c r="I155" s="20">
        <v>6175</v>
      </c>
      <c r="J155" s="20">
        <v>24700</v>
      </c>
    </row>
    <row r="156" spans="1:10" hidden="1" x14ac:dyDescent="0.35">
      <c r="A156" t="s">
        <v>272</v>
      </c>
      <c r="B156" s="2">
        <v>45810</v>
      </c>
      <c r="C156" t="s">
        <v>115</v>
      </c>
      <c r="D156" t="s">
        <v>165</v>
      </c>
      <c r="E156" t="s">
        <v>59</v>
      </c>
      <c r="F156" t="s">
        <v>14</v>
      </c>
      <c r="G156" t="s">
        <v>15</v>
      </c>
      <c r="H156">
        <v>6</v>
      </c>
      <c r="I156" s="20">
        <v>1100</v>
      </c>
      <c r="J156" s="20">
        <v>6600</v>
      </c>
    </row>
    <row r="157" spans="1:10" hidden="1" x14ac:dyDescent="0.35">
      <c r="A157" t="s">
        <v>273</v>
      </c>
      <c r="B157" s="2">
        <v>45810</v>
      </c>
      <c r="C157" t="s">
        <v>178</v>
      </c>
      <c r="D157" t="s">
        <v>58</v>
      </c>
      <c r="E157" t="s">
        <v>59</v>
      </c>
      <c r="F157" t="s">
        <v>39</v>
      </c>
      <c r="G157" t="s">
        <v>76</v>
      </c>
      <c r="H157">
        <v>1</v>
      </c>
      <c r="I157" s="20">
        <v>6840</v>
      </c>
      <c r="J157" s="20">
        <v>6840</v>
      </c>
    </row>
    <row r="158" spans="1:10" hidden="1" x14ac:dyDescent="0.35">
      <c r="A158" t="s">
        <v>274</v>
      </c>
      <c r="B158" s="2">
        <v>45811</v>
      </c>
      <c r="C158" t="s">
        <v>239</v>
      </c>
      <c r="D158" t="s">
        <v>49</v>
      </c>
      <c r="E158" t="s">
        <v>29</v>
      </c>
      <c r="F158" t="s">
        <v>30</v>
      </c>
      <c r="G158" t="s">
        <v>124</v>
      </c>
      <c r="H158">
        <v>8</v>
      </c>
      <c r="I158" s="20">
        <v>1500</v>
      </c>
      <c r="J158" s="20">
        <v>12000</v>
      </c>
    </row>
    <row r="159" spans="1:10" hidden="1" x14ac:dyDescent="0.35">
      <c r="A159" t="s">
        <v>275</v>
      </c>
      <c r="B159" s="2">
        <v>45811</v>
      </c>
      <c r="C159" t="s">
        <v>276</v>
      </c>
      <c r="D159" t="s">
        <v>70</v>
      </c>
      <c r="E159" t="s">
        <v>13</v>
      </c>
      <c r="F159" t="s">
        <v>14</v>
      </c>
      <c r="G159" t="s">
        <v>100</v>
      </c>
      <c r="H159">
        <v>5</v>
      </c>
      <c r="I159" s="20">
        <v>9975</v>
      </c>
      <c r="J159" s="20">
        <v>49875</v>
      </c>
    </row>
    <row r="160" spans="1:10" hidden="1" x14ac:dyDescent="0.35">
      <c r="A160" t="s">
        <v>277</v>
      </c>
      <c r="B160" s="2">
        <v>45811</v>
      </c>
      <c r="C160" t="s">
        <v>143</v>
      </c>
      <c r="D160" t="s">
        <v>38</v>
      </c>
      <c r="E160" t="s">
        <v>29</v>
      </c>
      <c r="F160" t="s">
        <v>20</v>
      </c>
      <c r="G160" t="s">
        <v>44</v>
      </c>
      <c r="H160">
        <v>4</v>
      </c>
      <c r="I160" s="20">
        <v>2090</v>
      </c>
      <c r="J160" s="20">
        <v>8360</v>
      </c>
    </row>
    <row r="161" spans="1:10" hidden="1" x14ac:dyDescent="0.35">
      <c r="A161" t="s">
        <v>278</v>
      </c>
      <c r="B161" s="2">
        <v>45811</v>
      </c>
      <c r="C161" t="s">
        <v>279</v>
      </c>
      <c r="D161" t="s">
        <v>151</v>
      </c>
      <c r="E161" t="s">
        <v>13</v>
      </c>
      <c r="F161" t="s">
        <v>14</v>
      </c>
      <c r="G161" t="s">
        <v>15</v>
      </c>
      <c r="H161">
        <v>3</v>
      </c>
      <c r="I161" s="20">
        <v>3360</v>
      </c>
      <c r="J161" s="20">
        <v>10080</v>
      </c>
    </row>
    <row r="162" spans="1:10" hidden="1" x14ac:dyDescent="0.35">
      <c r="A162" t="s">
        <v>280</v>
      </c>
      <c r="B162" s="2">
        <v>45815</v>
      </c>
      <c r="C162" t="s">
        <v>89</v>
      </c>
      <c r="D162" t="s">
        <v>24</v>
      </c>
      <c r="E162" t="s">
        <v>13</v>
      </c>
      <c r="F162" t="s">
        <v>30</v>
      </c>
      <c r="G162" t="s">
        <v>31</v>
      </c>
      <c r="H162">
        <v>6</v>
      </c>
      <c r="I162" s="20">
        <v>2280</v>
      </c>
      <c r="J162" s="20">
        <v>13680</v>
      </c>
    </row>
    <row r="163" spans="1:10" hidden="1" x14ac:dyDescent="0.35">
      <c r="A163" t="s">
        <v>281</v>
      </c>
      <c r="B163" s="2">
        <v>45815</v>
      </c>
      <c r="C163" t="s">
        <v>133</v>
      </c>
      <c r="D163" t="s">
        <v>165</v>
      </c>
      <c r="E163" t="s">
        <v>59</v>
      </c>
      <c r="F163" t="s">
        <v>14</v>
      </c>
      <c r="G163" t="s">
        <v>25</v>
      </c>
      <c r="H163">
        <v>1</v>
      </c>
      <c r="I163" s="20">
        <v>1100</v>
      </c>
      <c r="J163" s="20">
        <v>1100</v>
      </c>
    </row>
    <row r="164" spans="1:10" hidden="1" x14ac:dyDescent="0.35">
      <c r="A164" t="s">
        <v>282</v>
      </c>
      <c r="B164" s="2">
        <v>45816</v>
      </c>
      <c r="C164" t="s">
        <v>161</v>
      </c>
      <c r="D164" t="s">
        <v>54</v>
      </c>
      <c r="E164" t="s">
        <v>19</v>
      </c>
      <c r="F164" t="s">
        <v>20</v>
      </c>
      <c r="G164" t="s">
        <v>116</v>
      </c>
      <c r="H164">
        <v>1</v>
      </c>
      <c r="I164" s="20">
        <v>900</v>
      </c>
      <c r="J164" s="20">
        <v>900</v>
      </c>
    </row>
    <row r="165" spans="1:10" hidden="1" x14ac:dyDescent="0.35">
      <c r="A165" t="s">
        <v>283</v>
      </c>
      <c r="B165" s="2">
        <v>45817</v>
      </c>
      <c r="C165" t="s">
        <v>73</v>
      </c>
      <c r="D165" t="s">
        <v>54</v>
      </c>
      <c r="E165" t="s">
        <v>19</v>
      </c>
      <c r="F165" t="s">
        <v>20</v>
      </c>
      <c r="G165" t="s">
        <v>116</v>
      </c>
      <c r="H165">
        <v>5</v>
      </c>
      <c r="I165" s="20">
        <v>945</v>
      </c>
      <c r="J165" s="20">
        <v>4725</v>
      </c>
    </row>
    <row r="166" spans="1:10" hidden="1" x14ac:dyDescent="0.35">
      <c r="A166" t="s">
        <v>284</v>
      </c>
      <c r="B166" s="2">
        <v>45817</v>
      </c>
      <c r="C166" t="s">
        <v>215</v>
      </c>
      <c r="D166" t="s">
        <v>54</v>
      </c>
      <c r="E166" t="s">
        <v>19</v>
      </c>
      <c r="F166" t="s">
        <v>14</v>
      </c>
      <c r="G166" t="s">
        <v>15</v>
      </c>
      <c r="H166">
        <v>2</v>
      </c>
      <c r="I166" s="20">
        <v>900</v>
      </c>
      <c r="J166" s="20">
        <v>1800</v>
      </c>
    </row>
    <row r="167" spans="1:10" hidden="1" x14ac:dyDescent="0.35">
      <c r="A167" t="s">
        <v>285</v>
      </c>
      <c r="B167" s="2">
        <v>45818</v>
      </c>
      <c r="C167" t="s">
        <v>147</v>
      </c>
      <c r="D167" t="s">
        <v>108</v>
      </c>
      <c r="E167" t="s">
        <v>84</v>
      </c>
      <c r="F167" t="s">
        <v>39</v>
      </c>
      <c r="G167" t="s">
        <v>50</v>
      </c>
      <c r="H167">
        <v>1</v>
      </c>
      <c r="I167" s="20">
        <v>80</v>
      </c>
      <c r="J167" s="20">
        <v>80</v>
      </c>
    </row>
    <row r="168" spans="1:10" hidden="1" x14ac:dyDescent="0.35">
      <c r="A168" t="s">
        <v>286</v>
      </c>
      <c r="B168" s="2">
        <v>45819</v>
      </c>
      <c r="C168" t="s">
        <v>287</v>
      </c>
      <c r="D168" t="s">
        <v>38</v>
      </c>
      <c r="E168" t="s">
        <v>29</v>
      </c>
      <c r="F168" t="s">
        <v>20</v>
      </c>
      <c r="G168" t="s">
        <v>116</v>
      </c>
      <c r="H168">
        <v>1</v>
      </c>
      <c r="I168" s="20">
        <v>2310</v>
      </c>
      <c r="J168" s="20">
        <v>2310</v>
      </c>
    </row>
    <row r="169" spans="1:10" hidden="1" x14ac:dyDescent="0.35">
      <c r="A169" t="s">
        <v>288</v>
      </c>
      <c r="B169" s="2">
        <v>45819</v>
      </c>
      <c r="C169" t="s">
        <v>211</v>
      </c>
      <c r="D169" t="s">
        <v>49</v>
      </c>
      <c r="E169" t="s">
        <v>29</v>
      </c>
      <c r="F169" t="s">
        <v>39</v>
      </c>
      <c r="G169" t="s">
        <v>65</v>
      </c>
      <c r="H169">
        <v>4</v>
      </c>
      <c r="I169" s="20">
        <v>1500</v>
      </c>
      <c r="J169" s="20">
        <v>6000</v>
      </c>
    </row>
    <row r="170" spans="1:10" hidden="1" x14ac:dyDescent="0.35">
      <c r="A170" t="s">
        <v>289</v>
      </c>
      <c r="B170" s="2">
        <v>45819</v>
      </c>
      <c r="C170" t="s">
        <v>192</v>
      </c>
      <c r="D170" t="s">
        <v>34</v>
      </c>
      <c r="E170" t="s">
        <v>35</v>
      </c>
      <c r="F170" t="s">
        <v>20</v>
      </c>
      <c r="G170" t="s">
        <v>44</v>
      </c>
      <c r="H170">
        <v>2</v>
      </c>
      <c r="I170" s="20">
        <v>700</v>
      </c>
      <c r="J170" s="20">
        <v>1400</v>
      </c>
    </row>
    <row r="171" spans="1:10" hidden="1" x14ac:dyDescent="0.35">
      <c r="A171" t="s">
        <v>290</v>
      </c>
      <c r="B171" s="2">
        <v>45819</v>
      </c>
      <c r="C171" t="s">
        <v>56</v>
      </c>
      <c r="D171" t="s">
        <v>148</v>
      </c>
      <c r="E171" t="s">
        <v>29</v>
      </c>
      <c r="F171" t="s">
        <v>39</v>
      </c>
      <c r="G171" t="s">
        <v>76</v>
      </c>
      <c r="H171">
        <v>8</v>
      </c>
      <c r="I171" s="20">
        <v>682.5</v>
      </c>
      <c r="J171" s="20">
        <v>5460</v>
      </c>
    </row>
    <row r="172" spans="1:10" hidden="1" x14ac:dyDescent="0.35">
      <c r="A172" t="s">
        <v>291</v>
      </c>
      <c r="B172" s="2">
        <v>45820</v>
      </c>
      <c r="C172" t="s">
        <v>234</v>
      </c>
      <c r="D172" t="s">
        <v>165</v>
      </c>
      <c r="E172" t="s">
        <v>59</v>
      </c>
      <c r="F172" t="s">
        <v>30</v>
      </c>
      <c r="G172" t="s">
        <v>124</v>
      </c>
      <c r="H172">
        <v>2</v>
      </c>
      <c r="I172" s="20">
        <v>1100</v>
      </c>
      <c r="J172" s="20">
        <v>2200</v>
      </c>
    </row>
    <row r="173" spans="1:10" hidden="1" x14ac:dyDescent="0.35">
      <c r="A173" t="s">
        <v>292</v>
      </c>
      <c r="B173" s="2">
        <v>45821</v>
      </c>
      <c r="C173" t="s">
        <v>133</v>
      </c>
      <c r="D173" t="s">
        <v>38</v>
      </c>
      <c r="E173" t="s">
        <v>29</v>
      </c>
      <c r="F173" t="s">
        <v>14</v>
      </c>
      <c r="G173" t="s">
        <v>25</v>
      </c>
      <c r="H173">
        <v>1</v>
      </c>
      <c r="I173" s="20">
        <v>2200</v>
      </c>
      <c r="J173" s="20">
        <v>2200</v>
      </c>
    </row>
    <row r="174" spans="1:10" hidden="1" x14ac:dyDescent="0.35">
      <c r="A174" t="s">
        <v>293</v>
      </c>
      <c r="B174" s="2">
        <v>45821</v>
      </c>
      <c r="C174" t="s">
        <v>294</v>
      </c>
      <c r="D174" t="s">
        <v>151</v>
      </c>
      <c r="E174" t="s">
        <v>13</v>
      </c>
      <c r="F174" t="s">
        <v>30</v>
      </c>
      <c r="G174" t="s">
        <v>36</v>
      </c>
      <c r="H174">
        <v>2</v>
      </c>
      <c r="I174" s="20">
        <v>3360</v>
      </c>
      <c r="J174" s="20">
        <v>6720</v>
      </c>
    </row>
    <row r="175" spans="1:10" hidden="1" x14ac:dyDescent="0.35">
      <c r="A175" t="s">
        <v>295</v>
      </c>
      <c r="B175" s="2">
        <v>45822</v>
      </c>
      <c r="C175" t="s">
        <v>46</v>
      </c>
      <c r="D175" t="s">
        <v>18</v>
      </c>
      <c r="E175" t="s">
        <v>19</v>
      </c>
      <c r="F175" t="s">
        <v>39</v>
      </c>
      <c r="G175" t="s">
        <v>50</v>
      </c>
      <c r="H175">
        <v>4</v>
      </c>
      <c r="I175" s="20">
        <v>1710</v>
      </c>
      <c r="J175" s="20">
        <v>6840</v>
      </c>
    </row>
    <row r="176" spans="1:10" hidden="1" x14ac:dyDescent="0.35">
      <c r="A176" t="s">
        <v>296</v>
      </c>
      <c r="B176" s="2">
        <v>45822</v>
      </c>
      <c r="C176" t="s">
        <v>147</v>
      </c>
      <c r="D176" t="s">
        <v>18</v>
      </c>
      <c r="E176" t="s">
        <v>19</v>
      </c>
      <c r="F176" t="s">
        <v>30</v>
      </c>
      <c r="G176" t="s">
        <v>36</v>
      </c>
      <c r="H176">
        <v>2</v>
      </c>
      <c r="I176" s="20">
        <v>1890</v>
      </c>
      <c r="J176" s="20">
        <v>3780</v>
      </c>
    </row>
    <row r="177" spans="1:10" hidden="1" x14ac:dyDescent="0.35">
      <c r="A177" t="s">
        <v>297</v>
      </c>
      <c r="B177" s="2">
        <v>45823</v>
      </c>
      <c r="C177" t="s">
        <v>246</v>
      </c>
      <c r="D177" t="s">
        <v>43</v>
      </c>
      <c r="E177" t="s">
        <v>35</v>
      </c>
      <c r="F177" t="s">
        <v>39</v>
      </c>
      <c r="G177" t="s">
        <v>76</v>
      </c>
      <c r="H177">
        <v>1</v>
      </c>
      <c r="I177" s="20">
        <v>6500</v>
      </c>
      <c r="J177" s="20">
        <v>6500</v>
      </c>
    </row>
    <row r="178" spans="1:10" hidden="1" x14ac:dyDescent="0.35">
      <c r="A178" t="s">
        <v>298</v>
      </c>
      <c r="B178" s="2">
        <v>45823</v>
      </c>
      <c r="C178" t="s">
        <v>95</v>
      </c>
      <c r="D178" t="s">
        <v>18</v>
      </c>
      <c r="E178" t="s">
        <v>19</v>
      </c>
      <c r="F178" t="s">
        <v>39</v>
      </c>
      <c r="G178" t="s">
        <v>76</v>
      </c>
      <c r="H178">
        <v>2</v>
      </c>
      <c r="I178" s="20">
        <v>1890</v>
      </c>
      <c r="J178" s="20">
        <v>3780</v>
      </c>
    </row>
    <row r="179" spans="1:10" hidden="1" x14ac:dyDescent="0.35">
      <c r="A179" t="s">
        <v>299</v>
      </c>
      <c r="B179" s="2">
        <v>45824</v>
      </c>
      <c r="C179" t="s">
        <v>226</v>
      </c>
      <c r="D179" t="s">
        <v>151</v>
      </c>
      <c r="E179" t="s">
        <v>13</v>
      </c>
      <c r="F179" t="s">
        <v>30</v>
      </c>
      <c r="G179" t="s">
        <v>36</v>
      </c>
      <c r="H179">
        <v>3</v>
      </c>
      <c r="I179" s="20">
        <v>3200</v>
      </c>
      <c r="J179" s="20">
        <v>9600</v>
      </c>
    </row>
    <row r="180" spans="1:10" hidden="1" x14ac:dyDescent="0.35">
      <c r="A180" t="s">
        <v>300</v>
      </c>
      <c r="B180" s="2">
        <v>45826</v>
      </c>
      <c r="C180" t="s">
        <v>27</v>
      </c>
      <c r="D180" t="s">
        <v>49</v>
      </c>
      <c r="E180" t="s">
        <v>29</v>
      </c>
      <c r="F180" t="s">
        <v>30</v>
      </c>
      <c r="G180" t="s">
        <v>36</v>
      </c>
      <c r="H180">
        <v>3</v>
      </c>
      <c r="I180" s="20">
        <v>1500</v>
      </c>
      <c r="J180" s="20">
        <v>4500</v>
      </c>
    </row>
    <row r="181" spans="1:10" hidden="1" x14ac:dyDescent="0.35">
      <c r="A181" t="s">
        <v>301</v>
      </c>
      <c r="B181" s="2">
        <v>45826</v>
      </c>
      <c r="C181" t="s">
        <v>155</v>
      </c>
      <c r="D181" t="s">
        <v>18</v>
      </c>
      <c r="E181" t="s">
        <v>19</v>
      </c>
      <c r="F181" t="s">
        <v>20</v>
      </c>
      <c r="G181" t="s">
        <v>85</v>
      </c>
      <c r="H181">
        <v>3</v>
      </c>
      <c r="I181" s="20">
        <v>1890</v>
      </c>
      <c r="J181" s="20">
        <v>5670</v>
      </c>
    </row>
    <row r="182" spans="1:10" hidden="1" x14ac:dyDescent="0.35">
      <c r="A182" t="s">
        <v>302</v>
      </c>
      <c r="B182" s="2">
        <v>45827</v>
      </c>
      <c r="C182" t="s">
        <v>42</v>
      </c>
      <c r="D182" t="s">
        <v>49</v>
      </c>
      <c r="E182" t="s">
        <v>29</v>
      </c>
      <c r="F182" t="s">
        <v>30</v>
      </c>
      <c r="G182" t="s">
        <v>124</v>
      </c>
      <c r="H182">
        <v>10</v>
      </c>
      <c r="I182" s="20">
        <v>1575</v>
      </c>
      <c r="J182" s="20">
        <v>15750</v>
      </c>
    </row>
    <row r="183" spans="1:10" hidden="1" x14ac:dyDescent="0.35">
      <c r="A183" t="s">
        <v>303</v>
      </c>
      <c r="B183" s="2">
        <v>45828</v>
      </c>
      <c r="C183" t="s">
        <v>174</v>
      </c>
      <c r="D183" t="s">
        <v>18</v>
      </c>
      <c r="E183" t="s">
        <v>19</v>
      </c>
      <c r="F183" t="s">
        <v>39</v>
      </c>
      <c r="G183" t="s">
        <v>65</v>
      </c>
      <c r="H183">
        <v>8</v>
      </c>
      <c r="I183" s="20">
        <v>1710</v>
      </c>
      <c r="J183" s="20">
        <v>13680</v>
      </c>
    </row>
    <row r="184" spans="1:10" hidden="1" x14ac:dyDescent="0.35">
      <c r="A184" t="s">
        <v>304</v>
      </c>
      <c r="B184" s="2">
        <v>45830</v>
      </c>
      <c r="C184" t="s">
        <v>140</v>
      </c>
      <c r="D184" t="s">
        <v>18</v>
      </c>
      <c r="E184" t="s">
        <v>19</v>
      </c>
      <c r="F184" t="s">
        <v>39</v>
      </c>
      <c r="G184" t="s">
        <v>76</v>
      </c>
      <c r="H184">
        <v>3</v>
      </c>
      <c r="I184" s="20">
        <v>1800</v>
      </c>
      <c r="J184" s="20">
        <v>5400</v>
      </c>
    </row>
    <row r="185" spans="1:10" hidden="1" x14ac:dyDescent="0.35">
      <c r="A185" t="s">
        <v>305</v>
      </c>
      <c r="B185" s="2">
        <v>45831</v>
      </c>
      <c r="C185" t="s">
        <v>23</v>
      </c>
      <c r="D185" t="s">
        <v>83</v>
      </c>
      <c r="E185" t="s">
        <v>84</v>
      </c>
      <c r="F185" t="s">
        <v>14</v>
      </c>
      <c r="G185" t="s">
        <v>15</v>
      </c>
      <c r="H185">
        <v>4</v>
      </c>
      <c r="I185" s="20">
        <v>120</v>
      </c>
      <c r="J185" s="20">
        <v>480</v>
      </c>
    </row>
    <row r="186" spans="1:10" hidden="1" x14ac:dyDescent="0.35">
      <c r="A186" t="s">
        <v>306</v>
      </c>
      <c r="B186" s="2">
        <v>45834</v>
      </c>
      <c r="C186" t="s">
        <v>52</v>
      </c>
      <c r="D186" t="s">
        <v>43</v>
      </c>
      <c r="E186" t="s">
        <v>35</v>
      </c>
      <c r="F186" t="s">
        <v>30</v>
      </c>
      <c r="G186" t="s">
        <v>31</v>
      </c>
      <c r="H186">
        <v>4</v>
      </c>
      <c r="I186" s="20">
        <v>6175</v>
      </c>
      <c r="J186" s="20">
        <v>24700</v>
      </c>
    </row>
    <row r="187" spans="1:10" hidden="1" x14ac:dyDescent="0.35">
      <c r="A187" t="s">
        <v>307</v>
      </c>
      <c r="B187" s="2">
        <v>45834</v>
      </c>
      <c r="C187" t="s">
        <v>48</v>
      </c>
      <c r="D187" t="s">
        <v>83</v>
      </c>
      <c r="E187" t="s">
        <v>84</v>
      </c>
      <c r="F187" t="s">
        <v>20</v>
      </c>
      <c r="G187" t="s">
        <v>85</v>
      </c>
      <c r="H187">
        <v>1</v>
      </c>
      <c r="I187" s="20">
        <v>120</v>
      </c>
      <c r="J187" s="20">
        <v>120</v>
      </c>
    </row>
    <row r="188" spans="1:10" hidden="1" x14ac:dyDescent="0.35">
      <c r="A188" t="s">
        <v>308</v>
      </c>
      <c r="B188" s="2">
        <v>45838</v>
      </c>
      <c r="C188" t="s">
        <v>309</v>
      </c>
      <c r="D188" t="s">
        <v>43</v>
      </c>
      <c r="E188" t="s">
        <v>35</v>
      </c>
      <c r="F188" t="s">
        <v>30</v>
      </c>
      <c r="G188" t="s">
        <v>31</v>
      </c>
      <c r="H188">
        <v>3</v>
      </c>
      <c r="I188" s="20">
        <v>6825</v>
      </c>
      <c r="J188" s="20">
        <v>20475</v>
      </c>
    </row>
    <row r="189" spans="1:10" hidden="1" x14ac:dyDescent="0.35">
      <c r="A189" t="s">
        <v>310</v>
      </c>
      <c r="B189" s="2">
        <v>45838</v>
      </c>
      <c r="C189" t="s">
        <v>121</v>
      </c>
      <c r="D189" t="s">
        <v>54</v>
      </c>
      <c r="E189" t="s">
        <v>19</v>
      </c>
      <c r="F189" t="s">
        <v>14</v>
      </c>
      <c r="G189" t="s">
        <v>100</v>
      </c>
      <c r="H189">
        <v>5</v>
      </c>
      <c r="I189" s="20">
        <v>900</v>
      </c>
      <c r="J189" s="20">
        <v>4500</v>
      </c>
    </row>
    <row r="190" spans="1:10" hidden="1" x14ac:dyDescent="0.35">
      <c r="A190" t="s">
        <v>311</v>
      </c>
      <c r="B190" s="2">
        <v>45838</v>
      </c>
      <c r="C190" t="s">
        <v>155</v>
      </c>
      <c r="D190" t="s">
        <v>108</v>
      </c>
      <c r="E190" t="s">
        <v>84</v>
      </c>
      <c r="F190" t="s">
        <v>20</v>
      </c>
      <c r="G190" t="s">
        <v>44</v>
      </c>
      <c r="H190">
        <v>2</v>
      </c>
      <c r="I190" s="20">
        <v>76</v>
      </c>
      <c r="J190" s="20">
        <v>152</v>
      </c>
    </row>
    <row r="191" spans="1:10" hidden="1" x14ac:dyDescent="0.35">
      <c r="A191" t="s">
        <v>312</v>
      </c>
      <c r="B191" s="2">
        <v>45839</v>
      </c>
      <c r="C191" t="s">
        <v>313</v>
      </c>
      <c r="D191" t="s">
        <v>12</v>
      </c>
      <c r="E191" t="s">
        <v>13</v>
      </c>
      <c r="F191" t="s">
        <v>39</v>
      </c>
      <c r="G191" t="s">
        <v>65</v>
      </c>
      <c r="H191">
        <v>4</v>
      </c>
      <c r="I191" s="20">
        <v>2660</v>
      </c>
      <c r="J191" s="20">
        <v>10640</v>
      </c>
    </row>
    <row r="192" spans="1:10" hidden="1" x14ac:dyDescent="0.35">
      <c r="A192" t="s">
        <v>314</v>
      </c>
      <c r="B192" s="2">
        <v>45841</v>
      </c>
      <c r="C192" t="s">
        <v>99</v>
      </c>
      <c r="D192" t="s">
        <v>43</v>
      </c>
      <c r="E192" t="s">
        <v>35</v>
      </c>
      <c r="F192" t="s">
        <v>39</v>
      </c>
      <c r="G192" t="s">
        <v>40</v>
      </c>
      <c r="H192">
        <v>3</v>
      </c>
      <c r="I192" s="20">
        <v>6175</v>
      </c>
      <c r="J192" s="20">
        <v>18525</v>
      </c>
    </row>
    <row r="193" spans="1:10" hidden="1" x14ac:dyDescent="0.35">
      <c r="A193" t="s">
        <v>315</v>
      </c>
      <c r="B193" s="2">
        <v>45842</v>
      </c>
      <c r="C193" t="s">
        <v>62</v>
      </c>
      <c r="D193" t="s">
        <v>165</v>
      </c>
      <c r="E193" t="s">
        <v>59</v>
      </c>
      <c r="F193" t="s">
        <v>30</v>
      </c>
      <c r="G193" t="s">
        <v>31</v>
      </c>
      <c r="H193">
        <v>3</v>
      </c>
      <c r="I193" s="20">
        <v>1100</v>
      </c>
      <c r="J193" s="20">
        <v>3300</v>
      </c>
    </row>
    <row r="194" spans="1:10" hidden="1" x14ac:dyDescent="0.35">
      <c r="A194" t="s">
        <v>316</v>
      </c>
      <c r="B194" s="2">
        <v>45843</v>
      </c>
      <c r="C194" t="s">
        <v>317</v>
      </c>
      <c r="D194" t="s">
        <v>12</v>
      </c>
      <c r="E194" t="s">
        <v>13</v>
      </c>
      <c r="F194" t="s">
        <v>39</v>
      </c>
      <c r="G194" t="s">
        <v>40</v>
      </c>
      <c r="H194">
        <v>4</v>
      </c>
      <c r="I194" s="20">
        <v>2660</v>
      </c>
      <c r="J194" s="20">
        <v>10640</v>
      </c>
    </row>
    <row r="195" spans="1:10" hidden="1" x14ac:dyDescent="0.35">
      <c r="A195" t="s">
        <v>318</v>
      </c>
      <c r="B195" s="2">
        <v>45846</v>
      </c>
      <c r="C195" t="s">
        <v>138</v>
      </c>
      <c r="D195" t="s">
        <v>165</v>
      </c>
      <c r="E195" t="s">
        <v>59</v>
      </c>
      <c r="F195" t="s">
        <v>14</v>
      </c>
      <c r="G195" t="s">
        <v>15</v>
      </c>
      <c r="H195">
        <v>3</v>
      </c>
      <c r="I195" s="20">
        <v>1100</v>
      </c>
      <c r="J195" s="20">
        <v>3300</v>
      </c>
    </row>
    <row r="196" spans="1:10" hidden="1" x14ac:dyDescent="0.35">
      <c r="A196" t="s">
        <v>319</v>
      </c>
      <c r="B196" s="2">
        <v>45847</v>
      </c>
      <c r="C196" t="s">
        <v>23</v>
      </c>
      <c r="D196" t="s">
        <v>108</v>
      </c>
      <c r="E196" t="s">
        <v>84</v>
      </c>
      <c r="F196" t="s">
        <v>14</v>
      </c>
      <c r="G196" t="s">
        <v>68</v>
      </c>
      <c r="H196">
        <v>3</v>
      </c>
      <c r="I196" s="20">
        <v>80</v>
      </c>
      <c r="J196" s="20">
        <v>240</v>
      </c>
    </row>
    <row r="197" spans="1:10" hidden="1" x14ac:dyDescent="0.35">
      <c r="A197" t="s">
        <v>320</v>
      </c>
      <c r="B197" s="2">
        <v>45848</v>
      </c>
      <c r="C197" t="s">
        <v>11</v>
      </c>
      <c r="D197" t="s">
        <v>18</v>
      </c>
      <c r="E197" t="s">
        <v>19</v>
      </c>
      <c r="F197" t="s">
        <v>20</v>
      </c>
      <c r="G197" t="s">
        <v>85</v>
      </c>
      <c r="H197">
        <v>2</v>
      </c>
      <c r="I197" s="20">
        <v>1800</v>
      </c>
      <c r="J197" s="20">
        <v>3600</v>
      </c>
    </row>
    <row r="198" spans="1:10" hidden="1" x14ac:dyDescent="0.35">
      <c r="A198" t="s">
        <v>321</v>
      </c>
      <c r="B198" s="2">
        <v>45849</v>
      </c>
      <c r="C198" t="s">
        <v>23</v>
      </c>
      <c r="D198" t="s">
        <v>151</v>
      </c>
      <c r="E198" t="s">
        <v>13</v>
      </c>
      <c r="F198" t="s">
        <v>20</v>
      </c>
      <c r="G198" t="s">
        <v>85</v>
      </c>
      <c r="H198">
        <v>3</v>
      </c>
      <c r="I198" s="20">
        <v>3360</v>
      </c>
      <c r="J198" s="20">
        <v>10080</v>
      </c>
    </row>
    <row r="199" spans="1:10" hidden="1" x14ac:dyDescent="0.35">
      <c r="A199" t="s">
        <v>322</v>
      </c>
      <c r="B199" s="2">
        <v>45849</v>
      </c>
      <c r="C199" t="s">
        <v>317</v>
      </c>
      <c r="D199" t="s">
        <v>70</v>
      </c>
      <c r="E199" t="s">
        <v>13</v>
      </c>
      <c r="F199" t="s">
        <v>20</v>
      </c>
      <c r="G199" t="s">
        <v>116</v>
      </c>
      <c r="H199">
        <v>4</v>
      </c>
      <c r="I199" s="20">
        <v>10500</v>
      </c>
      <c r="J199" s="20">
        <v>42000</v>
      </c>
    </row>
    <row r="200" spans="1:10" hidden="1" x14ac:dyDescent="0.35">
      <c r="A200" t="s">
        <v>323</v>
      </c>
      <c r="B200" s="2">
        <v>45849</v>
      </c>
      <c r="C200" t="s">
        <v>218</v>
      </c>
      <c r="D200" t="s">
        <v>43</v>
      </c>
      <c r="E200" t="s">
        <v>35</v>
      </c>
      <c r="F200" t="s">
        <v>30</v>
      </c>
      <c r="G200" t="s">
        <v>31</v>
      </c>
      <c r="H200">
        <v>1</v>
      </c>
      <c r="I200" s="20">
        <v>6175</v>
      </c>
      <c r="J200" s="20">
        <v>6175</v>
      </c>
    </row>
    <row r="201" spans="1:10" hidden="1" x14ac:dyDescent="0.35">
      <c r="A201" t="s">
        <v>324</v>
      </c>
      <c r="B201" s="2">
        <v>45849</v>
      </c>
      <c r="C201" t="s">
        <v>181</v>
      </c>
      <c r="D201" t="s">
        <v>83</v>
      </c>
      <c r="E201" t="s">
        <v>84</v>
      </c>
      <c r="F201" t="s">
        <v>39</v>
      </c>
      <c r="G201" t="s">
        <v>40</v>
      </c>
      <c r="H201">
        <v>3</v>
      </c>
      <c r="I201" s="20">
        <v>126</v>
      </c>
      <c r="J201" s="20">
        <v>378</v>
      </c>
    </row>
    <row r="202" spans="1:10" hidden="1" x14ac:dyDescent="0.35">
      <c r="A202" t="s">
        <v>325</v>
      </c>
      <c r="B202" s="2">
        <v>45851</v>
      </c>
      <c r="C202" t="s">
        <v>174</v>
      </c>
      <c r="D202" t="s">
        <v>83</v>
      </c>
      <c r="E202" t="s">
        <v>84</v>
      </c>
      <c r="F202" t="s">
        <v>39</v>
      </c>
      <c r="G202" t="s">
        <v>40</v>
      </c>
      <c r="H202">
        <v>1</v>
      </c>
      <c r="I202" s="20">
        <v>126</v>
      </c>
      <c r="J202" s="20">
        <v>126</v>
      </c>
    </row>
    <row r="203" spans="1:10" hidden="1" x14ac:dyDescent="0.35">
      <c r="A203" t="s">
        <v>326</v>
      </c>
      <c r="B203" s="2">
        <v>45851</v>
      </c>
      <c r="C203" t="s">
        <v>91</v>
      </c>
      <c r="D203" t="s">
        <v>165</v>
      </c>
      <c r="E203" t="s">
        <v>59</v>
      </c>
      <c r="F203" t="s">
        <v>39</v>
      </c>
      <c r="G203" t="s">
        <v>50</v>
      </c>
      <c r="H203">
        <v>1</v>
      </c>
      <c r="I203" s="20">
        <v>1045</v>
      </c>
      <c r="J203" s="20">
        <v>1045</v>
      </c>
    </row>
    <row r="204" spans="1:10" hidden="1" x14ac:dyDescent="0.35">
      <c r="A204" t="s">
        <v>327</v>
      </c>
      <c r="B204" s="2">
        <v>45852</v>
      </c>
      <c r="C204" t="s">
        <v>215</v>
      </c>
      <c r="D204" t="s">
        <v>34</v>
      </c>
      <c r="E204" t="s">
        <v>35</v>
      </c>
      <c r="F204" t="s">
        <v>30</v>
      </c>
      <c r="G204" t="s">
        <v>124</v>
      </c>
      <c r="H204">
        <v>4</v>
      </c>
      <c r="I204" s="20">
        <v>700</v>
      </c>
      <c r="J204" s="20">
        <v>2800</v>
      </c>
    </row>
    <row r="205" spans="1:10" hidden="1" x14ac:dyDescent="0.35">
      <c r="A205" t="s">
        <v>328</v>
      </c>
      <c r="B205" s="2">
        <v>45853</v>
      </c>
      <c r="C205" t="s">
        <v>226</v>
      </c>
      <c r="D205" t="s">
        <v>24</v>
      </c>
      <c r="E205" t="s">
        <v>13</v>
      </c>
      <c r="F205" t="s">
        <v>20</v>
      </c>
      <c r="G205" t="s">
        <v>44</v>
      </c>
      <c r="H205">
        <v>3</v>
      </c>
      <c r="I205" s="20">
        <v>2400</v>
      </c>
      <c r="J205" s="20">
        <v>7200</v>
      </c>
    </row>
    <row r="206" spans="1:10" hidden="1" x14ac:dyDescent="0.35">
      <c r="A206" t="s">
        <v>329</v>
      </c>
      <c r="B206" s="2">
        <v>45853</v>
      </c>
      <c r="C206" t="s">
        <v>186</v>
      </c>
      <c r="D206" t="s">
        <v>24</v>
      </c>
      <c r="E206" t="s">
        <v>13</v>
      </c>
      <c r="F206" t="s">
        <v>14</v>
      </c>
      <c r="G206" t="s">
        <v>68</v>
      </c>
      <c r="H206">
        <v>1</v>
      </c>
      <c r="I206" s="20">
        <v>2400</v>
      </c>
      <c r="J206" s="20">
        <v>2400</v>
      </c>
    </row>
    <row r="207" spans="1:10" hidden="1" x14ac:dyDescent="0.35">
      <c r="A207" t="s">
        <v>330</v>
      </c>
      <c r="B207" s="2">
        <v>45854</v>
      </c>
      <c r="C207" t="s">
        <v>215</v>
      </c>
      <c r="D207" t="s">
        <v>43</v>
      </c>
      <c r="E207" t="s">
        <v>35</v>
      </c>
      <c r="F207" t="s">
        <v>20</v>
      </c>
      <c r="G207" t="s">
        <v>85</v>
      </c>
      <c r="H207">
        <v>6</v>
      </c>
      <c r="I207" s="20">
        <v>6500</v>
      </c>
      <c r="J207" s="20">
        <v>39000</v>
      </c>
    </row>
    <row r="208" spans="1:10" hidden="1" x14ac:dyDescent="0.35">
      <c r="A208" t="s">
        <v>331</v>
      </c>
      <c r="B208" s="2">
        <v>45855</v>
      </c>
      <c r="C208" t="s">
        <v>332</v>
      </c>
      <c r="D208" t="s">
        <v>54</v>
      </c>
      <c r="E208" t="s">
        <v>19</v>
      </c>
      <c r="F208" t="s">
        <v>14</v>
      </c>
      <c r="G208" t="s">
        <v>15</v>
      </c>
      <c r="H208">
        <v>10</v>
      </c>
      <c r="I208" s="20">
        <v>900</v>
      </c>
      <c r="J208" s="20">
        <v>9000</v>
      </c>
    </row>
    <row r="209" spans="1:10" hidden="1" x14ac:dyDescent="0.35">
      <c r="A209" t="s">
        <v>333</v>
      </c>
      <c r="B209" s="2">
        <v>45857</v>
      </c>
      <c r="C209" t="s">
        <v>276</v>
      </c>
      <c r="D209" t="s">
        <v>34</v>
      </c>
      <c r="E209" t="s">
        <v>35</v>
      </c>
      <c r="F209" t="s">
        <v>30</v>
      </c>
      <c r="G209" t="s">
        <v>71</v>
      </c>
      <c r="H209">
        <v>8</v>
      </c>
      <c r="I209" s="20">
        <v>700</v>
      </c>
      <c r="J209" s="20">
        <v>5600</v>
      </c>
    </row>
    <row r="210" spans="1:10" hidden="1" x14ac:dyDescent="0.35">
      <c r="A210" t="s">
        <v>334</v>
      </c>
      <c r="B210" s="2">
        <v>45858</v>
      </c>
      <c r="C210" t="s">
        <v>188</v>
      </c>
      <c r="D210" t="s">
        <v>49</v>
      </c>
      <c r="E210" t="s">
        <v>29</v>
      </c>
      <c r="F210" t="s">
        <v>39</v>
      </c>
      <c r="G210" t="s">
        <v>40</v>
      </c>
      <c r="H210">
        <v>2</v>
      </c>
      <c r="I210" s="20">
        <v>1500</v>
      </c>
      <c r="J210" s="20">
        <v>3000</v>
      </c>
    </row>
    <row r="211" spans="1:10" hidden="1" x14ac:dyDescent="0.35">
      <c r="A211" t="s">
        <v>335</v>
      </c>
      <c r="B211" s="2">
        <v>45859</v>
      </c>
      <c r="C211" t="s">
        <v>164</v>
      </c>
      <c r="D211" t="s">
        <v>24</v>
      </c>
      <c r="E211" t="s">
        <v>13</v>
      </c>
      <c r="F211" t="s">
        <v>39</v>
      </c>
      <c r="G211" t="s">
        <v>65</v>
      </c>
      <c r="H211">
        <v>1</v>
      </c>
      <c r="I211" s="20">
        <v>2520</v>
      </c>
      <c r="J211" s="20">
        <v>2520</v>
      </c>
    </row>
    <row r="212" spans="1:10" hidden="1" x14ac:dyDescent="0.35">
      <c r="A212" t="s">
        <v>336</v>
      </c>
      <c r="B212" s="2">
        <v>45861</v>
      </c>
      <c r="C212" t="s">
        <v>234</v>
      </c>
      <c r="D212" t="s">
        <v>28</v>
      </c>
      <c r="E212" t="s">
        <v>29</v>
      </c>
      <c r="F212" t="s">
        <v>20</v>
      </c>
      <c r="G212" t="s">
        <v>85</v>
      </c>
      <c r="H212">
        <v>2</v>
      </c>
      <c r="I212" s="20">
        <v>1200</v>
      </c>
      <c r="J212" s="20">
        <v>2400</v>
      </c>
    </row>
    <row r="213" spans="1:10" hidden="1" x14ac:dyDescent="0.35">
      <c r="A213" t="s">
        <v>337</v>
      </c>
      <c r="B213" s="2">
        <v>45862</v>
      </c>
      <c r="C213" t="s">
        <v>99</v>
      </c>
      <c r="D213" t="s">
        <v>24</v>
      </c>
      <c r="E213" t="s">
        <v>13</v>
      </c>
      <c r="F213" t="s">
        <v>14</v>
      </c>
      <c r="G213" t="s">
        <v>68</v>
      </c>
      <c r="H213">
        <v>1</v>
      </c>
      <c r="I213" s="20">
        <v>2400</v>
      </c>
      <c r="J213" s="20">
        <v>2400</v>
      </c>
    </row>
    <row r="214" spans="1:10" hidden="1" x14ac:dyDescent="0.35">
      <c r="A214" t="s">
        <v>338</v>
      </c>
      <c r="B214" s="2">
        <v>45862</v>
      </c>
      <c r="C214" t="s">
        <v>81</v>
      </c>
      <c r="D214" t="s">
        <v>108</v>
      </c>
      <c r="E214" t="s">
        <v>84</v>
      </c>
      <c r="F214" t="s">
        <v>14</v>
      </c>
      <c r="G214" t="s">
        <v>15</v>
      </c>
      <c r="H214">
        <v>4</v>
      </c>
      <c r="I214" s="20">
        <v>80</v>
      </c>
      <c r="J214" s="20">
        <v>320</v>
      </c>
    </row>
    <row r="215" spans="1:10" hidden="1" x14ac:dyDescent="0.35">
      <c r="A215" t="s">
        <v>339</v>
      </c>
      <c r="B215" s="2">
        <v>45864</v>
      </c>
      <c r="C215" t="s">
        <v>164</v>
      </c>
      <c r="D215" t="s">
        <v>24</v>
      </c>
      <c r="E215" t="s">
        <v>13</v>
      </c>
      <c r="F215" t="s">
        <v>39</v>
      </c>
      <c r="G215" t="s">
        <v>40</v>
      </c>
      <c r="H215">
        <v>1</v>
      </c>
      <c r="I215" s="20">
        <v>2280</v>
      </c>
      <c r="J215" s="20">
        <v>2280</v>
      </c>
    </row>
    <row r="216" spans="1:10" hidden="1" x14ac:dyDescent="0.35">
      <c r="A216" t="s">
        <v>340</v>
      </c>
      <c r="B216" s="2">
        <v>45864</v>
      </c>
      <c r="C216" t="s">
        <v>259</v>
      </c>
      <c r="D216" t="s">
        <v>34</v>
      </c>
      <c r="E216" t="s">
        <v>35</v>
      </c>
      <c r="F216" t="s">
        <v>14</v>
      </c>
      <c r="G216" t="s">
        <v>100</v>
      </c>
      <c r="H216">
        <v>4</v>
      </c>
      <c r="I216" s="20">
        <v>700</v>
      </c>
      <c r="J216" s="20">
        <v>2800</v>
      </c>
    </row>
    <row r="217" spans="1:10" hidden="1" x14ac:dyDescent="0.35">
      <c r="A217" t="s">
        <v>341</v>
      </c>
      <c r="B217" s="2">
        <v>45865</v>
      </c>
      <c r="C217" t="s">
        <v>250</v>
      </c>
      <c r="D217" t="s">
        <v>18</v>
      </c>
      <c r="E217" t="s">
        <v>19</v>
      </c>
      <c r="F217" t="s">
        <v>30</v>
      </c>
      <c r="G217" t="s">
        <v>31</v>
      </c>
      <c r="H217">
        <v>4</v>
      </c>
      <c r="I217" s="20">
        <v>1800</v>
      </c>
      <c r="J217" s="20">
        <v>7200</v>
      </c>
    </row>
    <row r="218" spans="1:10" hidden="1" x14ac:dyDescent="0.35">
      <c r="A218" t="s">
        <v>342</v>
      </c>
      <c r="B218" s="2">
        <v>45865</v>
      </c>
      <c r="C218" t="s">
        <v>188</v>
      </c>
      <c r="D218" t="s">
        <v>151</v>
      </c>
      <c r="E218" t="s">
        <v>13</v>
      </c>
      <c r="F218" t="s">
        <v>14</v>
      </c>
      <c r="G218" t="s">
        <v>68</v>
      </c>
      <c r="H218">
        <v>1</v>
      </c>
      <c r="I218" s="20">
        <v>3200</v>
      </c>
      <c r="J218" s="20">
        <v>3200</v>
      </c>
    </row>
    <row r="219" spans="1:10" hidden="1" x14ac:dyDescent="0.35">
      <c r="A219" t="s">
        <v>343</v>
      </c>
      <c r="B219" s="2">
        <v>45866</v>
      </c>
      <c r="C219" t="s">
        <v>192</v>
      </c>
      <c r="D219" t="s">
        <v>12</v>
      </c>
      <c r="E219" t="s">
        <v>13</v>
      </c>
      <c r="F219" t="s">
        <v>30</v>
      </c>
      <c r="G219" t="s">
        <v>71</v>
      </c>
      <c r="H219">
        <v>1</v>
      </c>
      <c r="I219" s="20">
        <v>2800</v>
      </c>
      <c r="J219" s="20">
        <v>2800</v>
      </c>
    </row>
    <row r="220" spans="1:10" hidden="1" x14ac:dyDescent="0.35">
      <c r="A220" t="s">
        <v>344</v>
      </c>
      <c r="B220" s="2">
        <v>45866</v>
      </c>
      <c r="C220" t="s">
        <v>79</v>
      </c>
      <c r="D220" t="s">
        <v>165</v>
      </c>
      <c r="E220" t="s">
        <v>59</v>
      </c>
      <c r="F220" t="s">
        <v>14</v>
      </c>
      <c r="G220" t="s">
        <v>100</v>
      </c>
      <c r="H220">
        <v>3</v>
      </c>
      <c r="I220" s="20">
        <v>1100</v>
      </c>
      <c r="J220" s="20">
        <v>3300</v>
      </c>
    </row>
    <row r="221" spans="1:10" hidden="1" x14ac:dyDescent="0.35">
      <c r="A221" t="s">
        <v>345</v>
      </c>
      <c r="B221" s="2">
        <v>45867</v>
      </c>
      <c r="C221" t="s">
        <v>79</v>
      </c>
      <c r="D221" t="s">
        <v>151</v>
      </c>
      <c r="E221" t="s">
        <v>13</v>
      </c>
      <c r="F221" t="s">
        <v>30</v>
      </c>
      <c r="G221" t="s">
        <v>71</v>
      </c>
      <c r="H221">
        <v>5</v>
      </c>
      <c r="I221" s="20">
        <v>3200</v>
      </c>
      <c r="J221" s="20">
        <v>16000</v>
      </c>
    </row>
    <row r="222" spans="1:10" hidden="1" x14ac:dyDescent="0.35">
      <c r="A222" t="s">
        <v>346</v>
      </c>
      <c r="B222" s="2">
        <v>45867</v>
      </c>
      <c r="C222" t="s">
        <v>250</v>
      </c>
      <c r="D222" t="s">
        <v>70</v>
      </c>
      <c r="E222" t="s">
        <v>13</v>
      </c>
      <c r="F222" t="s">
        <v>14</v>
      </c>
      <c r="G222" t="s">
        <v>25</v>
      </c>
      <c r="H222">
        <v>2</v>
      </c>
      <c r="I222" s="20">
        <v>10500</v>
      </c>
      <c r="J222" s="20">
        <v>21000</v>
      </c>
    </row>
    <row r="223" spans="1:10" hidden="1" x14ac:dyDescent="0.35">
      <c r="A223" t="s">
        <v>347</v>
      </c>
      <c r="B223" s="2">
        <v>45867</v>
      </c>
      <c r="C223" t="s">
        <v>73</v>
      </c>
      <c r="D223" t="s">
        <v>165</v>
      </c>
      <c r="E223" t="s">
        <v>59</v>
      </c>
      <c r="F223" t="s">
        <v>39</v>
      </c>
      <c r="G223" t="s">
        <v>40</v>
      </c>
      <c r="H223">
        <v>1</v>
      </c>
      <c r="I223" s="20">
        <v>1100</v>
      </c>
      <c r="J223" s="20">
        <v>1100</v>
      </c>
    </row>
    <row r="224" spans="1:10" hidden="1" x14ac:dyDescent="0.35">
      <c r="A224" t="s">
        <v>348</v>
      </c>
      <c r="B224" s="2">
        <v>45868</v>
      </c>
      <c r="C224" t="s">
        <v>17</v>
      </c>
      <c r="D224" t="s">
        <v>165</v>
      </c>
      <c r="E224" t="s">
        <v>59</v>
      </c>
      <c r="F224" t="s">
        <v>20</v>
      </c>
      <c r="G224" t="s">
        <v>44</v>
      </c>
      <c r="H224">
        <v>2</v>
      </c>
      <c r="I224" s="20">
        <v>1100</v>
      </c>
      <c r="J224" s="20">
        <v>2200</v>
      </c>
    </row>
    <row r="225" spans="1:10" hidden="1" x14ac:dyDescent="0.35">
      <c r="A225" t="s">
        <v>349</v>
      </c>
      <c r="B225" s="2">
        <v>45868</v>
      </c>
      <c r="C225" t="s">
        <v>79</v>
      </c>
      <c r="D225" t="s">
        <v>24</v>
      </c>
      <c r="E225" t="s">
        <v>13</v>
      </c>
      <c r="F225" t="s">
        <v>14</v>
      </c>
      <c r="G225" t="s">
        <v>15</v>
      </c>
      <c r="H225">
        <v>4</v>
      </c>
      <c r="I225" s="20">
        <v>2400</v>
      </c>
      <c r="J225" s="20">
        <v>9600</v>
      </c>
    </row>
    <row r="226" spans="1:10" hidden="1" x14ac:dyDescent="0.35">
      <c r="A226" t="s">
        <v>350</v>
      </c>
      <c r="B226" s="2">
        <v>45869</v>
      </c>
      <c r="C226" t="s">
        <v>218</v>
      </c>
      <c r="D226" t="s">
        <v>12</v>
      </c>
      <c r="E226" t="s">
        <v>13</v>
      </c>
      <c r="F226" t="s">
        <v>14</v>
      </c>
      <c r="G226" t="s">
        <v>68</v>
      </c>
      <c r="H226">
        <v>2</v>
      </c>
      <c r="I226" s="20">
        <v>2940</v>
      </c>
      <c r="J226" s="20">
        <v>5880</v>
      </c>
    </row>
    <row r="227" spans="1:10" x14ac:dyDescent="0.35">
      <c r="A227" t="s">
        <v>351</v>
      </c>
      <c r="B227" s="2">
        <v>45870</v>
      </c>
      <c r="C227" t="s">
        <v>267</v>
      </c>
      <c r="D227" t="s">
        <v>54</v>
      </c>
      <c r="E227" t="s">
        <v>19</v>
      </c>
      <c r="F227" t="s">
        <v>30</v>
      </c>
      <c r="G227" t="s">
        <v>124</v>
      </c>
      <c r="H227">
        <v>8</v>
      </c>
      <c r="I227" s="20">
        <v>945</v>
      </c>
      <c r="J227" s="20">
        <v>7560</v>
      </c>
    </row>
    <row r="228" spans="1:10" x14ac:dyDescent="0.35">
      <c r="A228" t="s">
        <v>352</v>
      </c>
      <c r="B228" s="2">
        <v>45870</v>
      </c>
      <c r="C228" t="s">
        <v>317</v>
      </c>
      <c r="D228" t="s">
        <v>28</v>
      </c>
      <c r="E228" t="s">
        <v>29</v>
      </c>
      <c r="F228" t="s">
        <v>39</v>
      </c>
      <c r="G228" t="s">
        <v>76</v>
      </c>
      <c r="H228">
        <v>2</v>
      </c>
      <c r="I228" s="20">
        <v>1200</v>
      </c>
      <c r="J228" s="20">
        <v>2400</v>
      </c>
    </row>
    <row r="229" spans="1:10" x14ac:dyDescent="0.35">
      <c r="A229" t="s">
        <v>353</v>
      </c>
      <c r="B229" s="2">
        <v>45870</v>
      </c>
      <c r="C229" t="s">
        <v>198</v>
      </c>
      <c r="D229" t="s">
        <v>58</v>
      </c>
      <c r="E229" t="s">
        <v>59</v>
      </c>
      <c r="F229" t="s">
        <v>20</v>
      </c>
      <c r="G229" t="s">
        <v>21</v>
      </c>
      <c r="H229">
        <v>3</v>
      </c>
      <c r="I229" s="20">
        <v>6840</v>
      </c>
      <c r="J229" s="20">
        <v>20520</v>
      </c>
    </row>
    <row r="230" spans="1:10" x14ac:dyDescent="0.35">
      <c r="A230" t="s">
        <v>354</v>
      </c>
      <c r="B230" s="2">
        <v>45871</v>
      </c>
      <c r="C230" t="s">
        <v>121</v>
      </c>
      <c r="D230" t="s">
        <v>151</v>
      </c>
      <c r="E230" t="s">
        <v>13</v>
      </c>
      <c r="F230" t="s">
        <v>14</v>
      </c>
      <c r="G230" t="s">
        <v>100</v>
      </c>
      <c r="H230">
        <v>8</v>
      </c>
      <c r="I230" s="20">
        <v>3040</v>
      </c>
      <c r="J230" s="20">
        <v>24320</v>
      </c>
    </row>
    <row r="231" spans="1:10" x14ac:dyDescent="0.35">
      <c r="A231" t="s">
        <v>355</v>
      </c>
      <c r="B231" s="2">
        <v>45874</v>
      </c>
      <c r="C231" t="s">
        <v>287</v>
      </c>
      <c r="D231" t="s">
        <v>83</v>
      </c>
      <c r="E231" t="s">
        <v>84</v>
      </c>
      <c r="F231" t="s">
        <v>14</v>
      </c>
      <c r="G231" t="s">
        <v>100</v>
      </c>
      <c r="H231">
        <v>1</v>
      </c>
      <c r="I231" s="20">
        <v>126</v>
      </c>
      <c r="J231" s="20">
        <v>126</v>
      </c>
    </row>
    <row r="232" spans="1:10" x14ac:dyDescent="0.35">
      <c r="A232" t="s">
        <v>356</v>
      </c>
      <c r="B232" s="2">
        <v>45877</v>
      </c>
      <c r="C232" t="s">
        <v>158</v>
      </c>
      <c r="D232" t="s">
        <v>83</v>
      </c>
      <c r="E232" t="s">
        <v>84</v>
      </c>
      <c r="F232" t="s">
        <v>30</v>
      </c>
      <c r="G232" t="s">
        <v>124</v>
      </c>
      <c r="H232">
        <v>4</v>
      </c>
      <c r="I232" s="20">
        <v>120</v>
      </c>
      <c r="J232" s="20">
        <v>480</v>
      </c>
    </row>
    <row r="233" spans="1:10" x14ac:dyDescent="0.35">
      <c r="A233" t="s">
        <v>357</v>
      </c>
      <c r="B233" s="2">
        <v>45877</v>
      </c>
      <c r="C233" t="s">
        <v>317</v>
      </c>
      <c r="D233" t="s">
        <v>148</v>
      </c>
      <c r="E233" t="s">
        <v>29</v>
      </c>
      <c r="F233" t="s">
        <v>14</v>
      </c>
      <c r="G233" t="s">
        <v>25</v>
      </c>
      <c r="H233">
        <v>3</v>
      </c>
      <c r="I233" s="20">
        <v>650</v>
      </c>
      <c r="J233" s="20">
        <v>1950</v>
      </c>
    </row>
    <row r="234" spans="1:10" x14ac:dyDescent="0.35">
      <c r="A234" t="s">
        <v>358</v>
      </c>
      <c r="B234" s="2">
        <v>45878</v>
      </c>
      <c r="C234" t="s">
        <v>128</v>
      </c>
      <c r="D234" t="s">
        <v>38</v>
      </c>
      <c r="E234" t="s">
        <v>29</v>
      </c>
      <c r="F234" t="s">
        <v>30</v>
      </c>
      <c r="G234" t="s">
        <v>124</v>
      </c>
      <c r="H234">
        <v>8</v>
      </c>
      <c r="I234" s="20">
        <v>2200</v>
      </c>
      <c r="J234" s="20">
        <v>17600</v>
      </c>
    </row>
    <row r="235" spans="1:10" x14ac:dyDescent="0.35">
      <c r="A235" t="s">
        <v>359</v>
      </c>
      <c r="B235" s="2">
        <v>45878</v>
      </c>
      <c r="C235" t="s">
        <v>46</v>
      </c>
      <c r="D235" t="s">
        <v>70</v>
      </c>
      <c r="E235" t="s">
        <v>13</v>
      </c>
      <c r="F235" t="s">
        <v>39</v>
      </c>
      <c r="G235" t="s">
        <v>65</v>
      </c>
      <c r="H235">
        <v>2</v>
      </c>
      <c r="I235" s="20">
        <v>10500</v>
      </c>
      <c r="J235" s="20">
        <v>21000</v>
      </c>
    </row>
    <row r="236" spans="1:10" x14ac:dyDescent="0.35">
      <c r="A236" t="s">
        <v>360</v>
      </c>
      <c r="B236" s="2">
        <v>45878</v>
      </c>
      <c r="C236" t="s">
        <v>79</v>
      </c>
      <c r="D236" t="s">
        <v>49</v>
      </c>
      <c r="E236" t="s">
        <v>29</v>
      </c>
      <c r="F236" t="s">
        <v>39</v>
      </c>
      <c r="G236" t="s">
        <v>65</v>
      </c>
      <c r="H236">
        <v>1</v>
      </c>
      <c r="I236" s="20">
        <v>1500</v>
      </c>
      <c r="J236" s="20">
        <v>1500</v>
      </c>
    </row>
    <row r="237" spans="1:10" x14ac:dyDescent="0.35">
      <c r="A237" t="s">
        <v>361</v>
      </c>
      <c r="B237" s="2">
        <v>45880</v>
      </c>
      <c r="C237" t="s">
        <v>279</v>
      </c>
      <c r="D237" t="s">
        <v>24</v>
      </c>
      <c r="E237" t="s">
        <v>13</v>
      </c>
      <c r="F237" t="s">
        <v>14</v>
      </c>
      <c r="G237" t="s">
        <v>68</v>
      </c>
      <c r="H237">
        <v>4</v>
      </c>
      <c r="I237" s="20">
        <v>2400</v>
      </c>
      <c r="J237" s="20">
        <v>9600</v>
      </c>
    </row>
    <row r="238" spans="1:10" x14ac:dyDescent="0.35">
      <c r="A238" t="s">
        <v>362</v>
      </c>
      <c r="B238" s="2">
        <v>45880</v>
      </c>
      <c r="C238" t="s">
        <v>128</v>
      </c>
      <c r="D238" t="s">
        <v>49</v>
      </c>
      <c r="E238" t="s">
        <v>29</v>
      </c>
      <c r="F238" t="s">
        <v>14</v>
      </c>
      <c r="G238" t="s">
        <v>25</v>
      </c>
      <c r="H238">
        <v>5</v>
      </c>
      <c r="I238" s="20">
        <v>1425</v>
      </c>
      <c r="J238" s="20">
        <v>7125</v>
      </c>
    </row>
    <row r="239" spans="1:10" x14ac:dyDescent="0.35">
      <c r="A239" t="s">
        <v>363</v>
      </c>
      <c r="B239" s="2">
        <v>45880</v>
      </c>
      <c r="C239" t="s">
        <v>133</v>
      </c>
      <c r="D239" t="s">
        <v>54</v>
      </c>
      <c r="E239" t="s">
        <v>19</v>
      </c>
      <c r="F239" t="s">
        <v>20</v>
      </c>
      <c r="G239" t="s">
        <v>21</v>
      </c>
      <c r="H239">
        <v>3</v>
      </c>
      <c r="I239" s="20">
        <v>855</v>
      </c>
      <c r="J239" s="20">
        <v>2565</v>
      </c>
    </row>
    <row r="240" spans="1:10" x14ac:dyDescent="0.35">
      <c r="A240" t="s">
        <v>364</v>
      </c>
      <c r="B240" s="2">
        <v>45881</v>
      </c>
      <c r="C240" t="s">
        <v>183</v>
      </c>
      <c r="D240" t="s">
        <v>49</v>
      </c>
      <c r="E240" t="s">
        <v>29</v>
      </c>
      <c r="F240" t="s">
        <v>14</v>
      </c>
      <c r="G240" t="s">
        <v>68</v>
      </c>
      <c r="H240">
        <v>2</v>
      </c>
      <c r="I240" s="20">
        <v>1575</v>
      </c>
      <c r="J240" s="20">
        <v>3150</v>
      </c>
    </row>
    <row r="241" spans="1:10" x14ac:dyDescent="0.35">
      <c r="A241" t="s">
        <v>365</v>
      </c>
      <c r="B241" s="2">
        <v>45883</v>
      </c>
      <c r="C241" t="s">
        <v>126</v>
      </c>
      <c r="D241" t="s">
        <v>58</v>
      </c>
      <c r="E241" t="s">
        <v>59</v>
      </c>
      <c r="F241" t="s">
        <v>14</v>
      </c>
      <c r="G241" t="s">
        <v>25</v>
      </c>
      <c r="H241">
        <v>5</v>
      </c>
      <c r="I241" s="20">
        <v>7200</v>
      </c>
      <c r="J241" s="20">
        <v>36000</v>
      </c>
    </row>
    <row r="242" spans="1:10" x14ac:dyDescent="0.35">
      <c r="A242" t="s">
        <v>366</v>
      </c>
      <c r="B242" s="2">
        <v>45883</v>
      </c>
      <c r="C242" t="s">
        <v>259</v>
      </c>
      <c r="D242" t="s">
        <v>54</v>
      </c>
      <c r="E242" t="s">
        <v>19</v>
      </c>
      <c r="F242" t="s">
        <v>39</v>
      </c>
      <c r="G242" t="s">
        <v>40</v>
      </c>
      <c r="H242">
        <v>2</v>
      </c>
      <c r="I242" s="20">
        <v>945</v>
      </c>
      <c r="J242" s="20">
        <v>1890</v>
      </c>
    </row>
    <row r="243" spans="1:10" x14ac:dyDescent="0.35">
      <c r="A243" t="s">
        <v>367</v>
      </c>
      <c r="B243" s="2">
        <v>45884</v>
      </c>
      <c r="C243" t="s">
        <v>317</v>
      </c>
      <c r="D243" t="s">
        <v>58</v>
      </c>
      <c r="E243" t="s">
        <v>59</v>
      </c>
      <c r="F243" t="s">
        <v>14</v>
      </c>
      <c r="G243" t="s">
        <v>25</v>
      </c>
      <c r="H243">
        <v>4</v>
      </c>
      <c r="I243" s="20">
        <v>7560</v>
      </c>
      <c r="J243" s="20">
        <v>30240</v>
      </c>
    </row>
    <row r="244" spans="1:10" x14ac:dyDescent="0.35">
      <c r="A244" t="s">
        <v>368</v>
      </c>
      <c r="B244" s="2">
        <v>45884</v>
      </c>
      <c r="C244" t="s">
        <v>188</v>
      </c>
      <c r="D244" t="s">
        <v>18</v>
      </c>
      <c r="E244" t="s">
        <v>19</v>
      </c>
      <c r="F244" t="s">
        <v>30</v>
      </c>
      <c r="G244" t="s">
        <v>124</v>
      </c>
      <c r="H244">
        <v>6</v>
      </c>
      <c r="I244" s="20">
        <v>1800</v>
      </c>
      <c r="J244" s="20">
        <v>10800</v>
      </c>
    </row>
    <row r="245" spans="1:10" x14ac:dyDescent="0.35">
      <c r="A245" t="s">
        <v>369</v>
      </c>
      <c r="B245" s="2">
        <v>45884</v>
      </c>
      <c r="C245" t="s">
        <v>136</v>
      </c>
      <c r="D245" t="s">
        <v>49</v>
      </c>
      <c r="E245" t="s">
        <v>29</v>
      </c>
      <c r="F245" t="s">
        <v>14</v>
      </c>
      <c r="G245" t="s">
        <v>68</v>
      </c>
      <c r="H245">
        <v>4</v>
      </c>
      <c r="I245" s="20">
        <v>1575</v>
      </c>
      <c r="J245" s="20">
        <v>6300</v>
      </c>
    </row>
    <row r="246" spans="1:10" x14ac:dyDescent="0.35">
      <c r="A246" t="s">
        <v>370</v>
      </c>
      <c r="B246" s="2">
        <v>45885</v>
      </c>
      <c r="C246" t="s">
        <v>87</v>
      </c>
      <c r="D246" t="s">
        <v>58</v>
      </c>
      <c r="E246" t="s">
        <v>59</v>
      </c>
      <c r="F246" t="s">
        <v>20</v>
      </c>
      <c r="G246" t="s">
        <v>85</v>
      </c>
      <c r="H246">
        <v>8</v>
      </c>
      <c r="I246" s="20">
        <v>7200</v>
      </c>
      <c r="J246" s="20">
        <v>57600</v>
      </c>
    </row>
    <row r="247" spans="1:10" x14ac:dyDescent="0.35">
      <c r="A247" t="s">
        <v>371</v>
      </c>
      <c r="B247" s="2">
        <v>45886</v>
      </c>
      <c r="C247" t="s">
        <v>75</v>
      </c>
      <c r="D247" t="s">
        <v>28</v>
      </c>
      <c r="E247" t="s">
        <v>29</v>
      </c>
      <c r="F247" t="s">
        <v>14</v>
      </c>
      <c r="G247" t="s">
        <v>100</v>
      </c>
      <c r="H247">
        <v>2</v>
      </c>
      <c r="I247" s="20">
        <v>1260</v>
      </c>
      <c r="J247" s="20">
        <v>2520</v>
      </c>
    </row>
    <row r="248" spans="1:10" x14ac:dyDescent="0.35">
      <c r="A248" t="s">
        <v>372</v>
      </c>
      <c r="B248" s="2">
        <v>45888</v>
      </c>
      <c r="C248" t="s">
        <v>143</v>
      </c>
      <c r="D248" t="s">
        <v>24</v>
      </c>
      <c r="E248" t="s">
        <v>13</v>
      </c>
      <c r="F248" t="s">
        <v>20</v>
      </c>
      <c r="G248" t="s">
        <v>85</v>
      </c>
      <c r="H248">
        <v>1</v>
      </c>
      <c r="I248" s="20">
        <v>2400</v>
      </c>
      <c r="J248" s="20">
        <v>2400</v>
      </c>
    </row>
    <row r="249" spans="1:10" x14ac:dyDescent="0.35">
      <c r="A249" t="s">
        <v>373</v>
      </c>
      <c r="B249" s="2">
        <v>45888</v>
      </c>
      <c r="C249" t="s">
        <v>48</v>
      </c>
      <c r="D249" t="s">
        <v>34</v>
      </c>
      <c r="E249" t="s">
        <v>35</v>
      </c>
      <c r="F249" t="s">
        <v>14</v>
      </c>
      <c r="G249" t="s">
        <v>68</v>
      </c>
      <c r="H249">
        <v>2</v>
      </c>
      <c r="I249" s="20">
        <v>665</v>
      </c>
      <c r="J249" s="20">
        <v>1330</v>
      </c>
    </row>
    <row r="250" spans="1:10" x14ac:dyDescent="0.35">
      <c r="A250" t="s">
        <v>374</v>
      </c>
      <c r="B250" s="2">
        <v>45889</v>
      </c>
      <c r="C250" t="s">
        <v>119</v>
      </c>
      <c r="D250" t="s">
        <v>49</v>
      </c>
      <c r="E250" t="s">
        <v>29</v>
      </c>
      <c r="F250" t="s">
        <v>30</v>
      </c>
      <c r="G250" t="s">
        <v>124</v>
      </c>
      <c r="H250">
        <v>2</v>
      </c>
      <c r="I250" s="20">
        <v>1425</v>
      </c>
      <c r="J250" s="20">
        <v>2850</v>
      </c>
    </row>
    <row r="251" spans="1:10" x14ac:dyDescent="0.35">
      <c r="A251" t="s">
        <v>375</v>
      </c>
      <c r="B251" s="2">
        <v>45890</v>
      </c>
      <c r="C251" t="s">
        <v>376</v>
      </c>
      <c r="D251" t="s">
        <v>165</v>
      </c>
      <c r="E251" t="s">
        <v>59</v>
      </c>
      <c r="F251" t="s">
        <v>14</v>
      </c>
      <c r="G251" t="s">
        <v>15</v>
      </c>
      <c r="H251">
        <v>6</v>
      </c>
      <c r="I251" s="20">
        <v>1100</v>
      </c>
      <c r="J251" s="20">
        <v>6600</v>
      </c>
    </row>
    <row r="252" spans="1:10" x14ac:dyDescent="0.35">
      <c r="A252" t="s">
        <v>377</v>
      </c>
      <c r="B252" s="2">
        <v>45891</v>
      </c>
      <c r="C252" t="s">
        <v>48</v>
      </c>
      <c r="D252" t="s">
        <v>18</v>
      </c>
      <c r="E252" t="s">
        <v>19</v>
      </c>
      <c r="F252" t="s">
        <v>14</v>
      </c>
      <c r="G252" t="s">
        <v>68</v>
      </c>
      <c r="H252">
        <v>1</v>
      </c>
      <c r="I252" s="20">
        <v>1800</v>
      </c>
      <c r="J252" s="20">
        <v>1800</v>
      </c>
    </row>
    <row r="253" spans="1:10" x14ac:dyDescent="0.35">
      <c r="A253" t="s">
        <v>378</v>
      </c>
      <c r="B253" s="2">
        <v>45893</v>
      </c>
      <c r="C253" t="s">
        <v>89</v>
      </c>
      <c r="D253" t="s">
        <v>54</v>
      </c>
      <c r="E253" t="s">
        <v>19</v>
      </c>
      <c r="F253" t="s">
        <v>14</v>
      </c>
      <c r="G253" t="s">
        <v>25</v>
      </c>
      <c r="H253">
        <v>3</v>
      </c>
      <c r="I253" s="20">
        <v>900</v>
      </c>
      <c r="J253" s="20">
        <v>2700</v>
      </c>
    </row>
    <row r="254" spans="1:10" x14ac:dyDescent="0.35">
      <c r="A254" t="s">
        <v>379</v>
      </c>
      <c r="B254" s="2">
        <v>45893</v>
      </c>
      <c r="C254" t="s">
        <v>87</v>
      </c>
      <c r="D254" t="s">
        <v>151</v>
      </c>
      <c r="E254" t="s">
        <v>13</v>
      </c>
      <c r="F254" t="s">
        <v>39</v>
      </c>
      <c r="G254" t="s">
        <v>65</v>
      </c>
      <c r="H254">
        <v>4</v>
      </c>
      <c r="I254" s="20">
        <v>3200</v>
      </c>
      <c r="J254" s="20">
        <v>12800</v>
      </c>
    </row>
    <row r="255" spans="1:10" x14ac:dyDescent="0.35">
      <c r="A255" t="s">
        <v>380</v>
      </c>
      <c r="B255" s="2">
        <v>45894</v>
      </c>
      <c r="C255" t="s">
        <v>107</v>
      </c>
      <c r="D255" t="s">
        <v>83</v>
      </c>
      <c r="E255" t="s">
        <v>84</v>
      </c>
      <c r="F255" t="s">
        <v>39</v>
      </c>
      <c r="G255" t="s">
        <v>40</v>
      </c>
      <c r="H255">
        <v>2</v>
      </c>
      <c r="I255" s="20">
        <v>126</v>
      </c>
      <c r="J255" s="20">
        <v>252</v>
      </c>
    </row>
    <row r="256" spans="1:10" x14ac:dyDescent="0.35">
      <c r="A256" t="s">
        <v>381</v>
      </c>
      <c r="B256" s="2">
        <v>45894</v>
      </c>
      <c r="C256" t="s">
        <v>87</v>
      </c>
      <c r="D256" t="s">
        <v>34</v>
      </c>
      <c r="E256" t="s">
        <v>35</v>
      </c>
      <c r="F256" t="s">
        <v>14</v>
      </c>
      <c r="G256" t="s">
        <v>15</v>
      </c>
      <c r="H256">
        <v>2</v>
      </c>
      <c r="I256" s="20">
        <v>665</v>
      </c>
      <c r="J256" s="20">
        <v>1330</v>
      </c>
    </row>
    <row r="257" spans="1:10" x14ac:dyDescent="0.35">
      <c r="A257" t="s">
        <v>382</v>
      </c>
      <c r="B257" s="2">
        <v>45895</v>
      </c>
      <c r="C257" t="s">
        <v>313</v>
      </c>
      <c r="D257" t="s">
        <v>54</v>
      </c>
      <c r="E257" t="s">
        <v>19</v>
      </c>
      <c r="F257" t="s">
        <v>14</v>
      </c>
      <c r="G257" t="s">
        <v>100</v>
      </c>
      <c r="H257">
        <v>8</v>
      </c>
      <c r="I257" s="20">
        <v>900</v>
      </c>
      <c r="J257" s="20">
        <v>7200</v>
      </c>
    </row>
    <row r="258" spans="1:10" x14ac:dyDescent="0.35">
      <c r="A258" t="s">
        <v>383</v>
      </c>
      <c r="B258" s="2">
        <v>45895</v>
      </c>
      <c r="C258" t="s">
        <v>384</v>
      </c>
      <c r="D258" t="s">
        <v>108</v>
      </c>
      <c r="E258" t="s">
        <v>84</v>
      </c>
      <c r="F258" t="s">
        <v>39</v>
      </c>
      <c r="G258" t="s">
        <v>76</v>
      </c>
      <c r="H258">
        <v>3</v>
      </c>
      <c r="I258" s="20">
        <v>80</v>
      </c>
      <c r="J258" s="20">
        <v>240</v>
      </c>
    </row>
    <row r="259" spans="1:10" x14ac:dyDescent="0.35">
      <c r="A259" t="s">
        <v>385</v>
      </c>
      <c r="B259" s="2">
        <v>45896</v>
      </c>
      <c r="C259" t="s">
        <v>99</v>
      </c>
      <c r="D259" t="s">
        <v>49</v>
      </c>
      <c r="E259" t="s">
        <v>29</v>
      </c>
      <c r="F259" t="s">
        <v>39</v>
      </c>
      <c r="G259" t="s">
        <v>50</v>
      </c>
      <c r="H259">
        <v>2</v>
      </c>
      <c r="I259" s="20">
        <v>1500</v>
      </c>
      <c r="J259" s="20">
        <v>3000</v>
      </c>
    </row>
    <row r="260" spans="1:10" x14ac:dyDescent="0.35">
      <c r="A260" t="s">
        <v>386</v>
      </c>
      <c r="B260" s="2">
        <v>45897</v>
      </c>
      <c r="C260" t="s">
        <v>95</v>
      </c>
      <c r="D260" t="s">
        <v>28</v>
      </c>
      <c r="E260" t="s">
        <v>29</v>
      </c>
      <c r="F260" t="s">
        <v>20</v>
      </c>
      <c r="G260" t="s">
        <v>44</v>
      </c>
      <c r="H260">
        <v>4</v>
      </c>
      <c r="I260" s="20">
        <v>1140</v>
      </c>
      <c r="J260" s="20">
        <v>4560</v>
      </c>
    </row>
    <row r="261" spans="1:10" x14ac:dyDescent="0.35">
      <c r="A261" t="s">
        <v>387</v>
      </c>
      <c r="B261" s="2">
        <v>45897</v>
      </c>
      <c r="C261" t="s">
        <v>317</v>
      </c>
      <c r="D261" t="s">
        <v>18</v>
      </c>
      <c r="E261" t="s">
        <v>19</v>
      </c>
      <c r="F261" t="s">
        <v>14</v>
      </c>
      <c r="G261" t="s">
        <v>100</v>
      </c>
      <c r="H261">
        <v>4</v>
      </c>
      <c r="I261" s="20">
        <v>1800</v>
      </c>
      <c r="J261" s="20">
        <v>7200</v>
      </c>
    </row>
    <row r="262" spans="1:10" x14ac:dyDescent="0.35">
      <c r="A262" t="s">
        <v>388</v>
      </c>
      <c r="B262" s="2">
        <v>45898</v>
      </c>
      <c r="C262" t="s">
        <v>115</v>
      </c>
      <c r="D262" t="s">
        <v>24</v>
      </c>
      <c r="E262" t="s">
        <v>13</v>
      </c>
      <c r="F262" t="s">
        <v>20</v>
      </c>
      <c r="G262" t="s">
        <v>21</v>
      </c>
      <c r="H262">
        <v>2</v>
      </c>
      <c r="I262" s="20">
        <v>2400</v>
      </c>
      <c r="J262" s="20">
        <v>4800</v>
      </c>
    </row>
    <row r="263" spans="1:10" x14ac:dyDescent="0.35">
      <c r="A263" t="s">
        <v>389</v>
      </c>
      <c r="B263" s="2">
        <v>45899</v>
      </c>
      <c r="C263" t="s">
        <v>161</v>
      </c>
      <c r="D263" t="s">
        <v>12</v>
      </c>
      <c r="E263" t="s">
        <v>13</v>
      </c>
      <c r="F263" t="s">
        <v>20</v>
      </c>
      <c r="G263" t="s">
        <v>44</v>
      </c>
      <c r="H263">
        <v>5</v>
      </c>
      <c r="I263" s="20">
        <v>2940</v>
      </c>
      <c r="J263" s="20">
        <v>14700</v>
      </c>
    </row>
    <row r="264" spans="1:10" x14ac:dyDescent="0.35">
      <c r="A264" t="s">
        <v>390</v>
      </c>
      <c r="B264" s="2">
        <v>45900</v>
      </c>
      <c r="C264" t="s">
        <v>62</v>
      </c>
      <c r="D264" t="s">
        <v>49</v>
      </c>
      <c r="E264" t="s">
        <v>29</v>
      </c>
      <c r="F264" t="s">
        <v>14</v>
      </c>
      <c r="G264" t="s">
        <v>15</v>
      </c>
      <c r="H264">
        <v>3</v>
      </c>
      <c r="I264" s="20">
        <v>1500</v>
      </c>
      <c r="J264" s="20">
        <v>4500</v>
      </c>
    </row>
    <row r="265" spans="1:10" x14ac:dyDescent="0.35">
      <c r="A265" t="s">
        <v>391</v>
      </c>
      <c r="B265" s="2">
        <v>45900</v>
      </c>
      <c r="C265" t="s">
        <v>99</v>
      </c>
      <c r="D265" t="s">
        <v>34</v>
      </c>
      <c r="E265" t="s">
        <v>35</v>
      </c>
      <c r="F265" t="s">
        <v>30</v>
      </c>
      <c r="G265" t="s">
        <v>36</v>
      </c>
      <c r="H265">
        <v>1</v>
      </c>
      <c r="I265" s="20">
        <v>700</v>
      </c>
      <c r="J265" s="20">
        <v>700</v>
      </c>
    </row>
    <row r="266" spans="1:10" x14ac:dyDescent="0.35">
      <c r="A266" t="s">
        <v>392</v>
      </c>
      <c r="B266" s="2">
        <v>45900</v>
      </c>
      <c r="C266" t="s">
        <v>188</v>
      </c>
      <c r="D266" t="s">
        <v>58</v>
      </c>
      <c r="E266" t="s">
        <v>59</v>
      </c>
      <c r="F266" t="s">
        <v>39</v>
      </c>
      <c r="G266" t="s">
        <v>40</v>
      </c>
      <c r="H266">
        <v>1</v>
      </c>
      <c r="I266" s="20">
        <v>7560</v>
      </c>
      <c r="J266" s="20">
        <v>7560</v>
      </c>
    </row>
    <row r="267" spans="1:10" x14ac:dyDescent="0.35">
      <c r="A267" t="s">
        <v>393</v>
      </c>
      <c r="B267" s="2">
        <v>45900</v>
      </c>
      <c r="C267" t="s">
        <v>33</v>
      </c>
      <c r="D267" t="s">
        <v>34</v>
      </c>
      <c r="E267" t="s">
        <v>35</v>
      </c>
      <c r="F267" t="s">
        <v>39</v>
      </c>
      <c r="G267" t="s">
        <v>50</v>
      </c>
      <c r="H267">
        <v>8</v>
      </c>
      <c r="I267" s="20">
        <v>735</v>
      </c>
      <c r="J267" s="20">
        <v>5880</v>
      </c>
    </row>
    <row r="268" spans="1:10" hidden="1" x14ac:dyDescent="0.35">
      <c r="A268" t="s">
        <v>394</v>
      </c>
      <c r="B268" s="2">
        <v>45901</v>
      </c>
      <c r="C268" t="s">
        <v>48</v>
      </c>
      <c r="D268" t="s">
        <v>58</v>
      </c>
      <c r="E268" t="s">
        <v>59</v>
      </c>
      <c r="F268" t="s">
        <v>30</v>
      </c>
      <c r="G268" t="s">
        <v>71</v>
      </c>
      <c r="H268">
        <v>2</v>
      </c>
      <c r="I268" s="20">
        <v>7200</v>
      </c>
      <c r="J268" s="20">
        <v>14400</v>
      </c>
    </row>
    <row r="269" spans="1:10" hidden="1" x14ac:dyDescent="0.35">
      <c r="A269" t="s">
        <v>395</v>
      </c>
      <c r="B269" s="2">
        <v>45901</v>
      </c>
      <c r="C269" t="s">
        <v>317</v>
      </c>
      <c r="D269" t="s">
        <v>70</v>
      </c>
      <c r="E269" t="s">
        <v>13</v>
      </c>
      <c r="F269" t="s">
        <v>20</v>
      </c>
      <c r="G269" t="s">
        <v>85</v>
      </c>
      <c r="H269">
        <v>8</v>
      </c>
      <c r="I269" s="20">
        <v>10500</v>
      </c>
      <c r="J269" s="20">
        <v>84000</v>
      </c>
    </row>
    <row r="270" spans="1:10" hidden="1" x14ac:dyDescent="0.35">
      <c r="A270" t="s">
        <v>396</v>
      </c>
      <c r="B270" s="2">
        <v>45903</v>
      </c>
      <c r="C270" t="s">
        <v>397</v>
      </c>
      <c r="D270" t="s">
        <v>108</v>
      </c>
      <c r="E270" t="s">
        <v>84</v>
      </c>
      <c r="F270" t="s">
        <v>20</v>
      </c>
      <c r="G270" t="s">
        <v>21</v>
      </c>
      <c r="H270">
        <v>5</v>
      </c>
      <c r="I270" s="20">
        <v>84</v>
      </c>
      <c r="J270" s="20">
        <v>420</v>
      </c>
    </row>
    <row r="271" spans="1:10" hidden="1" x14ac:dyDescent="0.35">
      <c r="A271" t="s">
        <v>398</v>
      </c>
      <c r="B271" s="2">
        <v>45903</v>
      </c>
      <c r="C271" t="s">
        <v>89</v>
      </c>
      <c r="D271" t="s">
        <v>151</v>
      </c>
      <c r="E271" t="s">
        <v>13</v>
      </c>
      <c r="F271" t="s">
        <v>14</v>
      </c>
      <c r="G271" t="s">
        <v>25</v>
      </c>
      <c r="H271">
        <v>3</v>
      </c>
      <c r="I271" s="20">
        <v>3360</v>
      </c>
      <c r="J271" s="20">
        <v>10080</v>
      </c>
    </row>
    <row r="272" spans="1:10" hidden="1" x14ac:dyDescent="0.35">
      <c r="A272" t="s">
        <v>399</v>
      </c>
      <c r="B272" s="2">
        <v>45903</v>
      </c>
      <c r="C272" t="s">
        <v>218</v>
      </c>
      <c r="D272" t="s">
        <v>12</v>
      </c>
      <c r="E272" t="s">
        <v>13</v>
      </c>
      <c r="F272" t="s">
        <v>30</v>
      </c>
      <c r="G272" t="s">
        <v>36</v>
      </c>
      <c r="H272">
        <v>1</v>
      </c>
      <c r="I272" s="20">
        <v>2940</v>
      </c>
      <c r="J272" s="20">
        <v>2940</v>
      </c>
    </row>
    <row r="273" spans="1:10" hidden="1" x14ac:dyDescent="0.35">
      <c r="A273" t="s">
        <v>400</v>
      </c>
      <c r="B273" s="2">
        <v>45903</v>
      </c>
      <c r="C273" t="s">
        <v>164</v>
      </c>
      <c r="D273" t="s">
        <v>43</v>
      </c>
      <c r="E273" t="s">
        <v>35</v>
      </c>
      <c r="F273" t="s">
        <v>14</v>
      </c>
      <c r="G273" t="s">
        <v>25</v>
      </c>
      <c r="H273">
        <v>4</v>
      </c>
      <c r="I273" s="20">
        <v>6500</v>
      </c>
      <c r="J273" s="20">
        <v>26000</v>
      </c>
    </row>
    <row r="274" spans="1:10" hidden="1" x14ac:dyDescent="0.35">
      <c r="A274" t="s">
        <v>401</v>
      </c>
      <c r="B274" s="2">
        <v>45904</v>
      </c>
      <c r="C274" t="s">
        <v>131</v>
      </c>
      <c r="D274" t="s">
        <v>12</v>
      </c>
      <c r="E274" t="s">
        <v>13</v>
      </c>
      <c r="F274" t="s">
        <v>39</v>
      </c>
      <c r="G274" t="s">
        <v>76</v>
      </c>
      <c r="H274">
        <v>6</v>
      </c>
      <c r="I274" s="20">
        <v>2660</v>
      </c>
      <c r="J274" s="20">
        <v>15960</v>
      </c>
    </row>
    <row r="275" spans="1:10" hidden="1" x14ac:dyDescent="0.35">
      <c r="A275" t="s">
        <v>402</v>
      </c>
      <c r="B275" s="2">
        <v>45905</v>
      </c>
      <c r="C275" t="s">
        <v>397</v>
      </c>
      <c r="D275" t="s">
        <v>58</v>
      </c>
      <c r="E275" t="s">
        <v>59</v>
      </c>
      <c r="F275" t="s">
        <v>39</v>
      </c>
      <c r="G275" t="s">
        <v>40</v>
      </c>
      <c r="H275">
        <v>1</v>
      </c>
      <c r="I275" s="20">
        <v>7560</v>
      </c>
      <c r="J275" s="20">
        <v>7560</v>
      </c>
    </row>
    <row r="276" spans="1:10" hidden="1" x14ac:dyDescent="0.35">
      <c r="A276" t="s">
        <v>403</v>
      </c>
      <c r="B276" s="2">
        <v>45905</v>
      </c>
      <c r="C276" t="s">
        <v>384</v>
      </c>
      <c r="D276" t="s">
        <v>49</v>
      </c>
      <c r="E276" t="s">
        <v>29</v>
      </c>
      <c r="F276" t="s">
        <v>20</v>
      </c>
      <c r="G276" t="s">
        <v>21</v>
      </c>
      <c r="H276">
        <v>2</v>
      </c>
      <c r="I276" s="20">
        <v>1425</v>
      </c>
      <c r="J276" s="20">
        <v>2850</v>
      </c>
    </row>
    <row r="277" spans="1:10" hidden="1" x14ac:dyDescent="0.35">
      <c r="A277" t="s">
        <v>404</v>
      </c>
      <c r="B277" s="2">
        <v>45906</v>
      </c>
      <c r="C277" t="s">
        <v>23</v>
      </c>
      <c r="D277" t="s">
        <v>70</v>
      </c>
      <c r="E277" t="s">
        <v>13</v>
      </c>
      <c r="F277" t="s">
        <v>14</v>
      </c>
      <c r="G277" t="s">
        <v>100</v>
      </c>
      <c r="H277">
        <v>1</v>
      </c>
      <c r="I277" s="20">
        <v>10500</v>
      </c>
      <c r="J277" s="20">
        <v>10500</v>
      </c>
    </row>
    <row r="278" spans="1:10" hidden="1" x14ac:dyDescent="0.35">
      <c r="A278" t="s">
        <v>405</v>
      </c>
      <c r="B278" s="2">
        <v>45908</v>
      </c>
      <c r="C278" t="s">
        <v>171</v>
      </c>
      <c r="D278" t="s">
        <v>49</v>
      </c>
      <c r="E278" t="s">
        <v>29</v>
      </c>
      <c r="F278" t="s">
        <v>14</v>
      </c>
      <c r="G278" t="s">
        <v>25</v>
      </c>
      <c r="H278">
        <v>2</v>
      </c>
      <c r="I278" s="20">
        <v>1500</v>
      </c>
      <c r="J278" s="20">
        <v>3000</v>
      </c>
    </row>
    <row r="279" spans="1:10" hidden="1" x14ac:dyDescent="0.35">
      <c r="A279" t="s">
        <v>406</v>
      </c>
      <c r="B279" s="2">
        <v>45908</v>
      </c>
      <c r="C279" t="s">
        <v>56</v>
      </c>
      <c r="D279" t="s">
        <v>151</v>
      </c>
      <c r="E279" t="s">
        <v>13</v>
      </c>
      <c r="F279" t="s">
        <v>20</v>
      </c>
      <c r="G279" t="s">
        <v>116</v>
      </c>
      <c r="H279">
        <v>6</v>
      </c>
      <c r="I279" s="20">
        <v>3360</v>
      </c>
      <c r="J279" s="20">
        <v>20160</v>
      </c>
    </row>
    <row r="280" spans="1:10" hidden="1" x14ac:dyDescent="0.35">
      <c r="A280" t="s">
        <v>407</v>
      </c>
      <c r="B280" s="2">
        <v>45909</v>
      </c>
      <c r="C280" t="s">
        <v>11</v>
      </c>
      <c r="D280" t="s">
        <v>58</v>
      </c>
      <c r="E280" t="s">
        <v>59</v>
      </c>
      <c r="F280" t="s">
        <v>30</v>
      </c>
      <c r="G280" t="s">
        <v>31</v>
      </c>
      <c r="H280">
        <v>1</v>
      </c>
      <c r="I280" s="20">
        <v>6840</v>
      </c>
      <c r="J280" s="20">
        <v>6840</v>
      </c>
    </row>
    <row r="281" spans="1:10" hidden="1" x14ac:dyDescent="0.35">
      <c r="A281" t="s">
        <v>408</v>
      </c>
      <c r="B281" s="2">
        <v>45911</v>
      </c>
      <c r="C281" t="s">
        <v>253</v>
      </c>
      <c r="D281" t="s">
        <v>49</v>
      </c>
      <c r="E281" t="s">
        <v>29</v>
      </c>
      <c r="F281" t="s">
        <v>30</v>
      </c>
      <c r="G281" t="s">
        <v>124</v>
      </c>
      <c r="H281">
        <v>3</v>
      </c>
      <c r="I281" s="20">
        <v>1500</v>
      </c>
      <c r="J281" s="20">
        <v>4500</v>
      </c>
    </row>
    <row r="282" spans="1:10" hidden="1" x14ac:dyDescent="0.35">
      <c r="A282" t="s">
        <v>409</v>
      </c>
      <c r="B282" s="2">
        <v>45912</v>
      </c>
      <c r="C282" t="s">
        <v>56</v>
      </c>
      <c r="D282" t="s">
        <v>108</v>
      </c>
      <c r="E282" t="s">
        <v>84</v>
      </c>
      <c r="F282" t="s">
        <v>39</v>
      </c>
      <c r="G282" t="s">
        <v>40</v>
      </c>
      <c r="H282">
        <v>1</v>
      </c>
      <c r="I282" s="20">
        <v>80</v>
      </c>
      <c r="J282" s="20">
        <v>80</v>
      </c>
    </row>
    <row r="283" spans="1:10" hidden="1" x14ac:dyDescent="0.35">
      <c r="A283" t="s">
        <v>410</v>
      </c>
      <c r="B283" s="2">
        <v>45913</v>
      </c>
      <c r="C283" t="s">
        <v>198</v>
      </c>
      <c r="D283" t="s">
        <v>148</v>
      </c>
      <c r="E283" t="s">
        <v>29</v>
      </c>
      <c r="F283" t="s">
        <v>39</v>
      </c>
      <c r="G283" t="s">
        <v>65</v>
      </c>
      <c r="H283">
        <v>3</v>
      </c>
      <c r="I283" s="20">
        <v>682.5</v>
      </c>
      <c r="J283" s="20">
        <v>2047.5</v>
      </c>
    </row>
    <row r="284" spans="1:10" hidden="1" x14ac:dyDescent="0.35">
      <c r="A284" t="s">
        <v>411</v>
      </c>
      <c r="B284" s="2">
        <v>45915</v>
      </c>
      <c r="C284" t="s">
        <v>97</v>
      </c>
      <c r="D284" t="s">
        <v>54</v>
      </c>
      <c r="E284" t="s">
        <v>19</v>
      </c>
      <c r="F284" t="s">
        <v>20</v>
      </c>
      <c r="G284" t="s">
        <v>44</v>
      </c>
      <c r="H284">
        <v>6</v>
      </c>
      <c r="I284" s="20">
        <v>900</v>
      </c>
      <c r="J284" s="20">
        <v>5400</v>
      </c>
    </row>
    <row r="285" spans="1:10" hidden="1" x14ac:dyDescent="0.35">
      <c r="A285" t="s">
        <v>412</v>
      </c>
      <c r="B285" s="2">
        <v>45916</v>
      </c>
      <c r="C285" t="s">
        <v>155</v>
      </c>
      <c r="D285" t="s">
        <v>151</v>
      </c>
      <c r="E285" t="s">
        <v>13</v>
      </c>
      <c r="F285" t="s">
        <v>14</v>
      </c>
      <c r="G285" t="s">
        <v>25</v>
      </c>
      <c r="H285">
        <v>1</v>
      </c>
      <c r="I285" s="20">
        <v>3200</v>
      </c>
      <c r="J285" s="20">
        <v>3200</v>
      </c>
    </row>
    <row r="286" spans="1:10" hidden="1" x14ac:dyDescent="0.35">
      <c r="A286" t="s">
        <v>413</v>
      </c>
      <c r="B286" s="2">
        <v>45916</v>
      </c>
      <c r="C286" t="s">
        <v>332</v>
      </c>
      <c r="D286" t="s">
        <v>12</v>
      </c>
      <c r="E286" t="s">
        <v>13</v>
      </c>
      <c r="F286" t="s">
        <v>39</v>
      </c>
      <c r="G286" t="s">
        <v>40</v>
      </c>
      <c r="H286">
        <v>3</v>
      </c>
      <c r="I286" s="20">
        <v>2800</v>
      </c>
      <c r="J286" s="20">
        <v>8400</v>
      </c>
    </row>
    <row r="287" spans="1:10" hidden="1" x14ac:dyDescent="0.35">
      <c r="A287" t="s">
        <v>414</v>
      </c>
      <c r="B287" s="2">
        <v>45917</v>
      </c>
      <c r="C287" t="s">
        <v>164</v>
      </c>
      <c r="D287" t="s">
        <v>18</v>
      </c>
      <c r="E287" t="s">
        <v>19</v>
      </c>
      <c r="F287" t="s">
        <v>14</v>
      </c>
      <c r="G287" t="s">
        <v>15</v>
      </c>
      <c r="H287">
        <v>4</v>
      </c>
      <c r="I287" s="20">
        <v>1800</v>
      </c>
      <c r="J287" s="20">
        <v>7200</v>
      </c>
    </row>
    <row r="288" spans="1:10" hidden="1" x14ac:dyDescent="0.35">
      <c r="A288" t="s">
        <v>415</v>
      </c>
      <c r="B288" s="2">
        <v>45917</v>
      </c>
      <c r="C288" t="s">
        <v>89</v>
      </c>
      <c r="D288" t="s">
        <v>108</v>
      </c>
      <c r="E288" t="s">
        <v>84</v>
      </c>
      <c r="F288" t="s">
        <v>20</v>
      </c>
      <c r="G288" t="s">
        <v>116</v>
      </c>
      <c r="H288">
        <v>3</v>
      </c>
      <c r="I288" s="20">
        <v>80</v>
      </c>
      <c r="J288" s="20">
        <v>240</v>
      </c>
    </row>
    <row r="289" spans="1:10" hidden="1" x14ac:dyDescent="0.35">
      <c r="A289" t="s">
        <v>416</v>
      </c>
      <c r="B289" s="2">
        <v>45918</v>
      </c>
      <c r="C289" t="s">
        <v>123</v>
      </c>
      <c r="D289" t="s">
        <v>34</v>
      </c>
      <c r="E289" t="s">
        <v>35</v>
      </c>
      <c r="F289" t="s">
        <v>14</v>
      </c>
      <c r="G289" t="s">
        <v>25</v>
      </c>
      <c r="H289">
        <v>2</v>
      </c>
      <c r="I289" s="20">
        <v>700</v>
      </c>
      <c r="J289" s="20">
        <v>1400</v>
      </c>
    </row>
    <row r="290" spans="1:10" hidden="1" x14ac:dyDescent="0.35">
      <c r="A290" t="s">
        <v>417</v>
      </c>
      <c r="B290" s="2">
        <v>45918</v>
      </c>
      <c r="C290" t="s">
        <v>62</v>
      </c>
      <c r="D290" t="s">
        <v>165</v>
      </c>
      <c r="E290" t="s">
        <v>59</v>
      </c>
      <c r="F290" t="s">
        <v>14</v>
      </c>
      <c r="G290" t="s">
        <v>68</v>
      </c>
      <c r="H290">
        <v>4</v>
      </c>
      <c r="I290" s="20">
        <v>1100</v>
      </c>
      <c r="J290" s="20">
        <v>4400</v>
      </c>
    </row>
    <row r="291" spans="1:10" hidden="1" x14ac:dyDescent="0.35">
      <c r="A291" t="s">
        <v>418</v>
      </c>
      <c r="B291" s="2">
        <v>45919</v>
      </c>
      <c r="C291" t="s">
        <v>48</v>
      </c>
      <c r="D291" t="s">
        <v>12</v>
      </c>
      <c r="E291" t="s">
        <v>13</v>
      </c>
      <c r="F291" t="s">
        <v>30</v>
      </c>
      <c r="G291" t="s">
        <v>31</v>
      </c>
      <c r="H291">
        <v>6</v>
      </c>
      <c r="I291" s="20">
        <v>2800</v>
      </c>
      <c r="J291" s="20">
        <v>16800</v>
      </c>
    </row>
    <row r="292" spans="1:10" hidden="1" x14ac:dyDescent="0.35">
      <c r="A292" t="s">
        <v>419</v>
      </c>
      <c r="B292" s="2">
        <v>45920</v>
      </c>
      <c r="C292" t="s">
        <v>123</v>
      </c>
      <c r="D292" t="s">
        <v>49</v>
      </c>
      <c r="E292" t="s">
        <v>29</v>
      </c>
      <c r="F292" t="s">
        <v>20</v>
      </c>
      <c r="G292" t="s">
        <v>85</v>
      </c>
      <c r="H292">
        <v>2</v>
      </c>
      <c r="I292" s="20">
        <v>1500</v>
      </c>
      <c r="J292" s="20">
        <v>3000</v>
      </c>
    </row>
    <row r="293" spans="1:10" hidden="1" x14ac:dyDescent="0.35">
      <c r="A293" t="s">
        <v>420</v>
      </c>
      <c r="B293" s="2">
        <v>45920</v>
      </c>
      <c r="C293" t="s">
        <v>64</v>
      </c>
      <c r="D293" t="s">
        <v>151</v>
      </c>
      <c r="E293" t="s">
        <v>13</v>
      </c>
      <c r="F293" t="s">
        <v>14</v>
      </c>
      <c r="G293" t="s">
        <v>68</v>
      </c>
      <c r="H293">
        <v>8</v>
      </c>
      <c r="I293" s="20">
        <v>3200</v>
      </c>
      <c r="J293" s="20">
        <v>25600</v>
      </c>
    </row>
    <row r="294" spans="1:10" hidden="1" x14ac:dyDescent="0.35">
      <c r="A294" t="s">
        <v>421</v>
      </c>
      <c r="B294" s="2">
        <v>45921</v>
      </c>
      <c r="C294" t="s">
        <v>211</v>
      </c>
      <c r="D294" t="s">
        <v>54</v>
      </c>
      <c r="E294" t="s">
        <v>19</v>
      </c>
      <c r="F294" t="s">
        <v>39</v>
      </c>
      <c r="G294" t="s">
        <v>65</v>
      </c>
      <c r="H294">
        <v>1</v>
      </c>
      <c r="I294" s="20">
        <v>855</v>
      </c>
      <c r="J294" s="20">
        <v>855</v>
      </c>
    </row>
    <row r="295" spans="1:10" hidden="1" x14ac:dyDescent="0.35">
      <c r="A295" t="s">
        <v>422</v>
      </c>
      <c r="B295" s="2">
        <v>45922</v>
      </c>
      <c r="C295" t="s">
        <v>67</v>
      </c>
      <c r="D295" t="s">
        <v>151</v>
      </c>
      <c r="E295" t="s">
        <v>13</v>
      </c>
      <c r="F295" t="s">
        <v>14</v>
      </c>
      <c r="G295" t="s">
        <v>100</v>
      </c>
      <c r="H295">
        <v>3</v>
      </c>
      <c r="I295" s="20">
        <v>3200</v>
      </c>
      <c r="J295" s="20">
        <v>9600</v>
      </c>
    </row>
    <row r="296" spans="1:10" hidden="1" x14ac:dyDescent="0.35">
      <c r="A296" t="s">
        <v>423</v>
      </c>
      <c r="B296" s="2">
        <v>45923</v>
      </c>
      <c r="C296" t="s">
        <v>17</v>
      </c>
      <c r="D296" t="s">
        <v>58</v>
      </c>
      <c r="E296" t="s">
        <v>59</v>
      </c>
      <c r="F296" t="s">
        <v>14</v>
      </c>
      <c r="G296" t="s">
        <v>100</v>
      </c>
      <c r="H296">
        <v>6</v>
      </c>
      <c r="I296" s="20">
        <v>7200</v>
      </c>
      <c r="J296" s="20">
        <v>43200</v>
      </c>
    </row>
    <row r="297" spans="1:10" hidden="1" x14ac:dyDescent="0.35">
      <c r="A297" t="s">
        <v>424</v>
      </c>
      <c r="B297" s="2">
        <v>45923</v>
      </c>
      <c r="C297" t="s">
        <v>384</v>
      </c>
      <c r="D297" t="s">
        <v>70</v>
      </c>
      <c r="E297" t="s">
        <v>13</v>
      </c>
      <c r="F297" t="s">
        <v>30</v>
      </c>
      <c r="G297" t="s">
        <v>31</v>
      </c>
      <c r="H297">
        <v>2</v>
      </c>
      <c r="I297" s="20">
        <v>10500</v>
      </c>
      <c r="J297" s="20">
        <v>21000</v>
      </c>
    </row>
    <row r="298" spans="1:10" hidden="1" x14ac:dyDescent="0.35">
      <c r="A298" t="s">
        <v>425</v>
      </c>
      <c r="B298" s="2">
        <v>45923</v>
      </c>
      <c r="C298" t="s">
        <v>64</v>
      </c>
      <c r="D298" t="s">
        <v>18</v>
      </c>
      <c r="E298" t="s">
        <v>19</v>
      </c>
      <c r="F298" t="s">
        <v>39</v>
      </c>
      <c r="G298" t="s">
        <v>40</v>
      </c>
      <c r="H298">
        <v>5</v>
      </c>
      <c r="I298" s="20">
        <v>1800</v>
      </c>
      <c r="J298" s="20">
        <v>9000</v>
      </c>
    </row>
    <row r="299" spans="1:10" hidden="1" x14ac:dyDescent="0.35">
      <c r="A299" t="s">
        <v>426</v>
      </c>
      <c r="B299" s="2">
        <v>45923</v>
      </c>
      <c r="C299" t="s">
        <v>46</v>
      </c>
      <c r="D299" t="s">
        <v>12</v>
      </c>
      <c r="E299" t="s">
        <v>13</v>
      </c>
      <c r="F299" t="s">
        <v>14</v>
      </c>
      <c r="G299" t="s">
        <v>15</v>
      </c>
      <c r="H299">
        <v>3</v>
      </c>
      <c r="I299" s="20">
        <v>2800</v>
      </c>
      <c r="J299" s="20">
        <v>8400</v>
      </c>
    </row>
    <row r="300" spans="1:10" hidden="1" x14ac:dyDescent="0.35">
      <c r="A300" t="s">
        <v>427</v>
      </c>
      <c r="B300" s="2">
        <v>45926</v>
      </c>
      <c r="C300" t="s">
        <v>215</v>
      </c>
      <c r="D300" t="s">
        <v>24</v>
      </c>
      <c r="E300" t="s">
        <v>13</v>
      </c>
      <c r="F300" t="s">
        <v>20</v>
      </c>
      <c r="G300" t="s">
        <v>44</v>
      </c>
      <c r="H300">
        <v>1</v>
      </c>
      <c r="I300" s="20">
        <v>2520</v>
      </c>
      <c r="J300" s="20">
        <v>2520</v>
      </c>
    </row>
    <row r="301" spans="1:10" hidden="1" x14ac:dyDescent="0.35">
      <c r="A301" t="s">
        <v>428</v>
      </c>
      <c r="B301" s="2">
        <v>45929</v>
      </c>
      <c r="C301" t="s">
        <v>11</v>
      </c>
      <c r="D301" t="s">
        <v>151</v>
      </c>
      <c r="E301" t="s">
        <v>13</v>
      </c>
      <c r="F301" t="s">
        <v>20</v>
      </c>
      <c r="G301" t="s">
        <v>21</v>
      </c>
      <c r="H301">
        <v>1</v>
      </c>
      <c r="I301" s="20">
        <v>3360</v>
      </c>
      <c r="J301" s="20">
        <v>3360</v>
      </c>
    </row>
    <row r="302" spans="1:10" hidden="1" x14ac:dyDescent="0.35">
      <c r="A302" t="s">
        <v>429</v>
      </c>
      <c r="B302" s="2">
        <v>45929</v>
      </c>
      <c r="C302" t="s">
        <v>93</v>
      </c>
      <c r="D302" t="s">
        <v>18</v>
      </c>
      <c r="E302" t="s">
        <v>19</v>
      </c>
      <c r="F302" t="s">
        <v>14</v>
      </c>
      <c r="G302" t="s">
        <v>68</v>
      </c>
      <c r="H302">
        <v>2</v>
      </c>
      <c r="I302" s="20">
        <v>1890</v>
      </c>
      <c r="J302" s="20">
        <v>3780</v>
      </c>
    </row>
    <row r="303" spans="1:10" hidden="1" x14ac:dyDescent="0.35">
      <c r="A303" t="s">
        <v>430</v>
      </c>
      <c r="B303" s="2">
        <v>45929</v>
      </c>
      <c r="C303" t="s">
        <v>317</v>
      </c>
      <c r="D303" t="s">
        <v>70</v>
      </c>
      <c r="E303" t="s">
        <v>13</v>
      </c>
      <c r="F303" t="s">
        <v>39</v>
      </c>
      <c r="G303" t="s">
        <v>40</v>
      </c>
      <c r="H303">
        <v>2</v>
      </c>
      <c r="I303" s="20">
        <v>10500</v>
      </c>
      <c r="J303" s="20">
        <v>21000</v>
      </c>
    </row>
    <row r="304" spans="1:10" hidden="1" x14ac:dyDescent="0.35">
      <c r="A304" t="s">
        <v>431</v>
      </c>
      <c r="B304" s="2">
        <v>45930</v>
      </c>
      <c r="C304" t="s">
        <v>178</v>
      </c>
      <c r="D304" t="s">
        <v>108</v>
      </c>
      <c r="E304" t="s">
        <v>84</v>
      </c>
      <c r="F304" t="s">
        <v>30</v>
      </c>
      <c r="G304" t="s">
        <v>124</v>
      </c>
      <c r="H304">
        <v>4</v>
      </c>
      <c r="I304" s="20">
        <v>76</v>
      </c>
      <c r="J304" s="20">
        <v>304</v>
      </c>
    </row>
    <row r="305" spans="1:10" hidden="1" x14ac:dyDescent="0.35">
      <c r="A305" t="s">
        <v>432</v>
      </c>
      <c r="B305" s="2">
        <v>45931</v>
      </c>
      <c r="C305" t="s">
        <v>246</v>
      </c>
      <c r="D305" t="s">
        <v>83</v>
      </c>
      <c r="E305" t="s">
        <v>84</v>
      </c>
      <c r="F305" t="s">
        <v>39</v>
      </c>
      <c r="G305" t="s">
        <v>76</v>
      </c>
      <c r="H305">
        <v>1</v>
      </c>
      <c r="I305" s="20">
        <v>120</v>
      </c>
      <c r="J305" s="20">
        <v>120</v>
      </c>
    </row>
    <row r="306" spans="1:10" hidden="1" x14ac:dyDescent="0.35">
      <c r="A306" t="s">
        <v>433</v>
      </c>
      <c r="B306" s="2">
        <v>45932</v>
      </c>
      <c r="C306" t="s">
        <v>186</v>
      </c>
      <c r="D306" t="s">
        <v>49</v>
      </c>
      <c r="E306" t="s">
        <v>29</v>
      </c>
      <c r="F306" t="s">
        <v>20</v>
      </c>
      <c r="G306" t="s">
        <v>85</v>
      </c>
      <c r="H306">
        <v>10</v>
      </c>
      <c r="I306" s="20">
        <v>1500</v>
      </c>
      <c r="J306" s="20">
        <v>15000</v>
      </c>
    </row>
    <row r="307" spans="1:10" hidden="1" x14ac:dyDescent="0.35">
      <c r="A307" t="s">
        <v>434</v>
      </c>
      <c r="B307" s="2">
        <v>45932</v>
      </c>
      <c r="C307" t="s">
        <v>155</v>
      </c>
      <c r="D307" t="s">
        <v>148</v>
      </c>
      <c r="E307" t="s">
        <v>29</v>
      </c>
      <c r="F307" t="s">
        <v>39</v>
      </c>
      <c r="G307" t="s">
        <v>40</v>
      </c>
      <c r="H307">
        <v>5</v>
      </c>
      <c r="I307" s="20">
        <v>650</v>
      </c>
      <c r="J307" s="20">
        <v>3250</v>
      </c>
    </row>
    <row r="308" spans="1:10" hidden="1" x14ac:dyDescent="0.35">
      <c r="A308" t="s">
        <v>435</v>
      </c>
      <c r="B308" s="2">
        <v>45933</v>
      </c>
      <c r="C308" t="s">
        <v>136</v>
      </c>
      <c r="D308" t="s">
        <v>151</v>
      </c>
      <c r="E308" t="s">
        <v>13</v>
      </c>
      <c r="F308" t="s">
        <v>30</v>
      </c>
      <c r="G308" t="s">
        <v>36</v>
      </c>
      <c r="H308">
        <v>2</v>
      </c>
      <c r="I308" s="20">
        <v>3200</v>
      </c>
      <c r="J308" s="20">
        <v>6400</v>
      </c>
    </row>
    <row r="309" spans="1:10" hidden="1" x14ac:dyDescent="0.35">
      <c r="A309" t="s">
        <v>436</v>
      </c>
      <c r="B309" s="2">
        <v>45934</v>
      </c>
      <c r="C309" t="s">
        <v>332</v>
      </c>
      <c r="D309" t="s">
        <v>12</v>
      </c>
      <c r="E309" t="s">
        <v>13</v>
      </c>
      <c r="F309" t="s">
        <v>30</v>
      </c>
      <c r="G309" t="s">
        <v>71</v>
      </c>
      <c r="H309">
        <v>4</v>
      </c>
      <c r="I309" s="20">
        <v>2800</v>
      </c>
      <c r="J309" s="20">
        <v>11200</v>
      </c>
    </row>
    <row r="310" spans="1:10" hidden="1" x14ac:dyDescent="0.35">
      <c r="A310" t="s">
        <v>437</v>
      </c>
      <c r="B310" s="2">
        <v>45934</v>
      </c>
      <c r="C310" t="s">
        <v>211</v>
      </c>
      <c r="D310" t="s">
        <v>24</v>
      </c>
      <c r="E310" t="s">
        <v>13</v>
      </c>
      <c r="F310" t="s">
        <v>39</v>
      </c>
      <c r="G310" t="s">
        <v>40</v>
      </c>
      <c r="H310">
        <v>3</v>
      </c>
      <c r="I310" s="20">
        <v>2400</v>
      </c>
      <c r="J310" s="20">
        <v>7200</v>
      </c>
    </row>
    <row r="311" spans="1:10" hidden="1" x14ac:dyDescent="0.35">
      <c r="A311" t="s">
        <v>438</v>
      </c>
      <c r="B311" s="2">
        <v>45934</v>
      </c>
      <c r="C311" t="s">
        <v>67</v>
      </c>
      <c r="D311" t="s">
        <v>12</v>
      </c>
      <c r="E311" t="s">
        <v>13</v>
      </c>
      <c r="F311" t="s">
        <v>39</v>
      </c>
      <c r="G311" t="s">
        <v>40</v>
      </c>
      <c r="H311">
        <v>4</v>
      </c>
      <c r="I311" s="20">
        <v>2660</v>
      </c>
      <c r="J311" s="20">
        <v>10640</v>
      </c>
    </row>
    <row r="312" spans="1:10" hidden="1" x14ac:dyDescent="0.35">
      <c r="A312" t="s">
        <v>439</v>
      </c>
      <c r="B312" s="2">
        <v>45935</v>
      </c>
      <c r="C312" t="s">
        <v>294</v>
      </c>
      <c r="D312" t="s">
        <v>28</v>
      </c>
      <c r="E312" t="s">
        <v>29</v>
      </c>
      <c r="F312" t="s">
        <v>20</v>
      </c>
      <c r="G312" t="s">
        <v>44</v>
      </c>
      <c r="H312">
        <v>4</v>
      </c>
      <c r="I312" s="20">
        <v>1140</v>
      </c>
      <c r="J312" s="20">
        <v>4560</v>
      </c>
    </row>
    <row r="313" spans="1:10" hidden="1" x14ac:dyDescent="0.35">
      <c r="A313" t="s">
        <v>440</v>
      </c>
      <c r="B313" s="2">
        <v>45935</v>
      </c>
      <c r="C313" t="s">
        <v>17</v>
      </c>
      <c r="D313" t="s">
        <v>28</v>
      </c>
      <c r="E313" t="s">
        <v>29</v>
      </c>
      <c r="F313" t="s">
        <v>30</v>
      </c>
      <c r="G313" t="s">
        <v>31</v>
      </c>
      <c r="H313">
        <v>3</v>
      </c>
      <c r="I313" s="20">
        <v>1200</v>
      </c>
      <c r="J313" s="20">
        <v>3600</v>
      </c>
    </row>
    <row r="314" spans="1:10" hidden="1" x14ac:dyDescent="0.35">
      <c r="A314" t="s">
        <v>441</v>
      </c>
      <c r="B314" s="2">
        <v>45935</v>
      </c>
      <c r="C314" t="s">
        <v>267</v>
      </c>
      <c r="D314" t="s">
        <v>28</v>
      </c>
      <c r="E314" t="s">
        <v>29</v>
      </c>
      <c r="F314" t="s">
        <v>14</v>
      </c>
      <c r="G314" t="s">
        <v>68</v>
      </c>
      <c r="H314">
        <v>8</v>
      </c>
      <c r="I314" s="20">
        <v>1140</v>
      </c>
      <c r="J314" s="20">
        <v>9120</v>
      </c>
    </row>
    <row r="315" spans="1:10" hidden="1" x14ac:dyDescent="0.35">
      <c r="A315" t="s">
        <v>442</v>
      </c>
      <c r="B315" s="2">
        <v>45937</v>
      </c>
      <c r="C315" t="s">
        <v>102</v>
      </c>
      <c r="D315" t="s">
        <v>12</v>
      </c>
      <c r="E315" t="s">
        <v>13</v>
      </c>
      <c r="F315" t="s">
        <v>39</v>
      </c>
      <c r="G315" t="s">
        <v>40</v>
      </c>
      <c r="H315">
        <v>10</v>
      </c>
      <c r="I315" s="20">
        <v>2660</v>
      </c>
      <c r="J315" s="20">
        <v>26600</v>
      </c>
    </row>
    <row r="316" spans="1:10" hidden="1" x14ac:dyDescent="0.35">
      <c r="A316" t="s">
        <v>443</v>
      </c>
      <c r="B316" s="2">
        <v>45938</v>
      </c>
      <c r="C316" t="s">
        <v>104</v>
      </c>
      <c r="D316" t="s">
        <v>148</v>
      </c>
      <c r="E316" t="s">
        <v>29</v>
      </c>
      <c r="F316" t="s">
        <v>14</v>
      </c>
      <c r="G316" t="s">
        <v>15</v>
      </c>
      <c r="H316">
        <v>2</v>
      </c>
      <c r="I316" s="20">
        <v>650</v>
      </c>
      <c r="J316" s="20">
        <v>1300</v>
      </c>
    </row>
    <row r="317" spans="1:10" hidden="1" x14ac:dyDescent="0.35">
      <c r="A317" t="s">
        <v>444</v>
      </c>
      <c r="B317" s="2">
        <v>45938</v>
      </c>
      <c r="C317" t="s">
        <v>174</v>
      </c>
      <c r="D317" t="s">
        <v>108</v>
      </c>
      <c r="E317" t="s">
        <v>84</v>
      </c>
      <c r="F317" t="s">
        <v>39</v>
      </c>
      <c r="G317" t="s">
        <v>40</v>
      </c>
      <c r="H317">
        <v>1</v>
      </c>
      <c r="I317" s="20">
        <v>80</v>
      </c>
      <c r="J317" s="20">
        <v>80</v>
      </c>
    </row>
    <row r="318" spans="1:10" hidden="1" x14ac:dyDescent="0.35">
      <c r="A318" t="s">
        <v>445</v>
      </c>
      <c r="B318" s="2">
        <v>45939</v>
      </c>
      <c r="C318" t="s">
        <v>267</v>
      </c>
      <c r="D318" t="s">
        <v>151</v>
      </c>
      <c r="E318" t="s">
        <v>13</v>
      </c>
      <c r="F318" t="s">
        <v>14</v>
      </c>
      <c r="G318" t="s">
        <v>25</v>
      </c>
      <c r="H318">
        <v>2</v>
      </c>
      <c r="I318" s="20">
        <v>3200</v>
      </c>
      <c r="J318" s="20">
        <v>6400</v>
      </c>
    </row>
    <row r="319" spans="1:10" hidden="1" x14ac:dyDescent="0.35">
      <c r="A319" t="s">
        <v>446</v>
      </c>
      <c r="B319" s="2">
        <v>45940</v>
      </c>
      <c r="C319" t="s">
        <v>87</v>
      </c>
      <c r="D319" t="s">
        <v>108</v>
      </c>
      <c r="E319" t="s">
        <v>84</v>
      </c>
      <c r="F319" t="s">
        <v>20</v>
      </c>
      <c r="G319" t="s">
        <v>21</v>
      </c>
      <c r="H319">
        <v>3</v>
      </c>
      <c r="I319" s="20">
        <v>76</v>
      </c>
      <c r="J319" s="20">
        <v>228</v>
      </c>
    </row>
    <row r="320" spans="1:10" hidden="1" x14ac:dyDescent="0.35">
      <c r="A320" t="s">
        <v>447</v>
      </c>
      <c r="B320" s="2">
        <v>45940</v>
      </c>
      <c r="C320" t="s">
        <v>226</v>
      </c>
      <c r="D320" t="s">
        <v>70</v>
      </c>
      <c r="E320" t="s">
        <v>13</v>
      </c>
      <c r="F320" t="s">
        <v>39</v>
      </c>
      <c r="G320" t="s">
        <v>50</v>
      </c>
      <c r="H320">
        <v>2</v>
      </c>
      <c r="I320" s="20">
        <v>11025</v>
      </c>
      <c r="J320" s="20">
        <v>22050</v>
      </c>
    </row>
    <row r="321" spans="1:10" hidden="1" x14ac:dyDescent="0.35">
      <c r="A321" t="s">
        <v>448</v>
      </c>
      <c r="B321" s="2">
        <v>45940</v>
      </c>
      <c r="C321" t="s">
        <v>234</v>
      </c>
      <c r="D321" t="s">
        <v>83</v>
      </c>
      <c r="E321" t="s">
        <v>84</v>
      </c>
      <c r="F321" t="s">
        <v>39</v>
      </c>
      <c r="G321" t="s">
        <v>65</v>
      </c>
      <c r="H321">
        <v>2</v>
      </c>
      <c r="I321" s="20">
        <v>120</v>
      </c>
      <c r="J321" s="20">
        <v>240</v>
      </c>
    </row>
    <row r="322" spans="1:10" hidden="1" x14ac:dyDescent="0.35">
      <c r="A322" t="s">
        <v>449</v>
      </c>
      <c r="B322" s="2">
        <v>45940</v>
      </c>
      <c r="C322" t="s">
        <v>183</v>
      </c>
      <c r="D322" t="s">
        <v>70</v>
      </c>
      <c r="E322" t="s">
        <v>13</v>
      </c>
      <c r="F322" t="s">
        <v>20</v>
      </c>
      <c r="G322" t="s">
        <v>85</v>
      </c>
      <c r="H322">
        <v>3</v>
      </c>
      <c r="I322" s="20">
        <v>9975</v>
      </c>
      <c r="J322" s="20">
        <v>29925</v>
      </c>
    </row>
    <row r="323" spans="1:10" hidden="1" x14ac:dyDescent="0.35">
      <c r="A323" t="s">
        <v>450</v>
      </c>
      <c r="B323" s="2">
        <v>45941</v>
      </c>
      <c r="C323" t="s">
        <v>67</v>
      </c>
      <c r="D323" t="s">
        <v>43</v>
      </c>
      <c r="E323" t="s">
        <v>35</v>
      </c>
      <c r="F323" t="s">
        <v>20</v>
      </c>
      <c r="G323" t="s">
        <v>116</v>
      </c>
      <c r="H323">
        <v>3</v>
      </c>
      <c r="I323" s="20">
        <v>6175</v>
      </c>
      <c r="J323" s="20">
        <v>18525</v>
      </c>
    </row>
    <row r="324" spans="1:10" hidden="1" x14ac:dyDescent="0.35">
      <c r="A324" t="s">
        <v>451</v>
      </c>
      <c r="B324" s="2">
        <v>45941</v>
      </c>
      <c r="C324" t="s">
        <v>208</v>
      </c>
      <c r="D324" t="s">
        <v>70</v>
      </c>
      <c r="E324" t="s">
        <v>13</v>
      </c>
      <c r="F324" t="s">
        <v>39</v>
      </c>
      <c r="G324" t="s">
        <v>40</v>
      </c>
      <c r="H324">
        <v>2</v>
      </c>
      <c r="I324" s="20">
        <v>11025</v>
      </c>
      <c r="J324" s="20">
        <v>22050</v>
      </c>
    </row>
    <row r="325" spans="1:10" hidden="1" x14ac:dyDescent="0.35">
      <c r="A325" t="s">
        <v>452</v>
      </c>
      <c r="B325" s="2">
        <v>45941</v>
      </c>
      <c r="C325" t="s">
        <v>143</v>
      </c>
      <c r="D325" t="s">
        <v>108</v>
      </c>
      <c r="E325" t="s">
        <v>84</v>
      </c>
      <c r="F325" t="s">
        <v>30</v>
      </c>
      <c r="G325" t="s">
        <v>31</v>
      </c>
      <c r="H325">
        <v>2</v>
      </c>
      <c r="I325" s="20">
        <v>80</v>
      </c>
      <c r="J325" s="20">
        <v>160</v>
      </c>
    </row>
    <row r="326" spans="1:10" hidden="1" x14ac:dyDescent="0.35">
      <c r="A326" t="s">
        <v>453</v>
      </c>
      <c r="B326" s="2">
        <v>45941</v>
      </c>
      <c r="C326" t="s">
        <v>186</v>
      </c>
      <c r="D326" t="s">
        <v>83</v>
      </c>
      <c r="E326" t="s">
        <v>84</v>
      </c>
      <c r="F326" t="s">
        <v>14</v>
      </c>
      <c r="G326" t="s">
        <v>68</v>
      </c>
      <c r="H326">
        <v>2</v>
      </c>
      <c r="I326" s="20">
        <v>126</v>
      </c>
      <c r="J326" s="20">
        <v>252</v>
      </c>
    </row>
    <row r="327" spans="1:10" hidden="1" x14ac:dyDescent="0.35">
      <c r="A327" t="s">
        <v>454</v>
      </c>
      <c r="B327" s="2">
        <v>45942</v>
      </c>
      <c r="C327" t="s">
        <v>178</v>
      </c>
      <c r="D327" t="s">
        <v>165</v>
      </c>
      <c r="E327" t="s">
        <v>59</v>
      </c>
      <c r="F327" t="s">
        <v>14</v>
      </c>
      <c r="G327" t="s">
        <v>15</v>
      </c>
      <c r="H327">
        <v>1</v>
      </c>
      <c r="I327" s="20">
        <v>1100</v>
      </c>
      <c r="J327" s="20">
        <v>1100</v>
      </c>
    </row>
    <row r="328" spans="1:10" hidden="1" x14ac:dyDescent="0.35">
      <c r="A328" t="s">
        <v>455</v>
      </c>
      <c r="B328" s="2">
        <v>45945</v>
      </c>
      <c r="C328" t="s">
        <v>128</v>
      </c>
      <c r="D328" t="s">
        <v>54</v>
      </c>
      <c r="E328" t="s">
        <v>19</v>
      </c>
      <c r="F328" t="s">
        <v>20</v>
      </c>
      <c r="G328" t="s">
        <v>44</v>
      </c>
      <c r="H328">
        <v>6</v>
      </c>
      <c r="I328" s="20">
        <v>900</v>
      </c>
      <c r="J328" s="20">
        <v>5400</v>
      </c>
    </row>
    <row r="329" spans="1:10" hidden="1" x14ac:dyDescent="0.35">
      <c r="A329" t="s">
        <v>456</v>
      </c>
      <c r="B329" s="2">
        <v>45945</v>
      </c>
      <c r="C329" t="s">
        <v>99</v>
      </c>
      <c r="D329" t="s">
        <v>54</v>
      </c>
      <c r="E329" t="s">
        <v>19</v>
      </c>
      <c r="F329" t="s">
        <v>30</v>
      </c>
      <c r="G329" t="s">
        <v>71</v>
      </c>
      <c r="H329">
        <v>4</v>
      </c>
      <c r="I329" s="20">
        <v>900</v>
      </c>
      <c r="J329" s="20">
        <v>3600</v>
      </c>
    </row>
    <row r="330" spans="1:10" hidden="1" x14ac:dyDescent="0.35">
      <c r="A330" t="s">
        <v>457</v>
      </c>
      <c r="B330" s="2">
        <v>45946</v>
      </c>
      <c r="C330" t="s">
        <v>121</v>
      </c>
      <c r="D330" t="s">
        <v>148</v>
      </c>
      <c r="E330" t="s">
        <v>29</v>
      </c>
      <c r="F330" t="s">
        <v>39</v>
      </c>
      <c r="G330" t="s">
        <v>76</v>
      </c>
      <c r="H330">
        <v>1</v>
      </c>
      <c r="I330" s="20">
        <v>650</v>
      </c>
      <c r="J330" s="20">
        <v>650</v>
      </c>
    </row>
    <row r="331" spans="1:10" hidden="1" x14ac:dyDescent="0.35">
      <c r="A331" t="s">
        <v>458</v>
      </c>
      <c r="B331" s="2">
        <v>45948</v>
      </c>
      <c r="C331" t="s">
        <v>220</v>
      </c>
      <c r="D331" t="s">
        <v>54</v>
      </c>
      <c r="E331" t="s">
        <v>19</v>
      </c>
      <c r="F331" t="s">
        <v>14</v>
      </c>
      <c r="G331" t="s">
        <v>100</v>
      </c>
      <c r="H331">
        <v>1</v>
      </c>
      <c r="I331" s="20">
        <v>900</v>
      </c>
      <c r="J331" s="20">
        <v>900</v>
      </c>
    </row>
    <row r="332" spans="1:10" hidden="1" x14ac:dyDescent="0.35">
      <c r="A332" t="s">
        <v>459</v>
      </c>
      <c r="B332" s="2">
        <v>45948</v>
      </c>
      <c r="C332" t="s">
        <v>64</v>
      </c>
      <c r="D332" t="s">
        <v>38</v>
      </c>
      <c r="E332" t="s">
        <v>29</v>
      </c>
      <c r="F332" t="s">
        <v>20</v>
      </c>
      <c r="G332" t="s">
        <v>21</v>
      </c>
      <c r="H332">
        <v>1</v>
      </c>
      <c r="I332" s="20">
        <v>2200</v>
      </c>
      <c r="J332" s="20">
        <v>2200</v>
      </c>
    </row>
    <row r="333" spans="1:10" hidden="1" x14ac:dyDescent="0.35">
      <c r="A333" t="s">
        <v>460</v>
      </c>
      <c r="B333" s="2">
        <v>45949</v>
      </c>
      <c r="C333" t="s">
        <v>23</v>
      </c>
      <c r="D333" t="s">
        <v>43</v>
      </c>
      <c r="E333" t="s">
        <v>35</v>
      </c>
      <c r="F333" t="s">
        <v>30</v>
      </c>
      <c r="G333" t="s">
        <v>71</v>
      </c>
      <c r="H333">
        <v>3</v>
      </c>
      <c r="I333" s="20">
        <v>6500</v>
      </c>
      <c r="J333" s="20">
        <v>19500</v>
      </c>
    </row>
    <row r="334" spans="1:10" hidden="1" x14ac:dyDescent="0.35">
      <c r="A334" t="s">
        <v>461</v>
      </c>
      <c r="B334" s="2">
        <v>45951</v>
      </c>
      <c r="C334" t="s">
        <v>99</v>
      </c>
      <c r="D334" t="s">
        <v>18</v>
      </c>
      <c r="E334" t="s">
        <v>19</v>
      </c>
      <c r="F334" t="s">
        <v>30</v>
      </c>
      <c r="G334" t="s">
        <v>31</v>
      </c>
      <c r="H334">
        <v>3</v>
      </c>
      <c r="I334" s="20">
        <v>1800</v>
      </c>
      <c r="J334" s="20">
        <v>5400</v>
      </c>
    </row>
    <row r="335" spans="1:10" hidden="1" x14ac:dyDescent="0.35">
      <c r="A335" t="s">
        <v>462</v>
      </c>
      <c r="B335" s="2">
        <v>45951</v>
      </c>
      <c r="C335" t="s">
        <v>181</v>
      </c>
      <c r="D335" t="s">
        <v>43</v>
      </c>
      <c r="E335" t="s">
        <v>35</v>
      </c>
      <c r="F335" t="s">
        <v>20</v>
      </c>
      <c r="G335" t="s">
        <v>85</v>
      </c>
      <c r="H335">
        <v>5</v>
      </c>
      <c r="I335" s="20">
        <v>6825</v>
      </c>
      <c r="J335" s="20">
        <v>34125</v>
      </c>
    </row>
    <row r="336" spans="1:10" hidden="1" x14ac:dyDescent="0.35">
      <c r="A336" t="s">
        <v>463</v>
      </c>
      <c r="B336" s="2">
        <v>45951</v>
      </c>
      <c r="C336" t="s">
        <v>89</v>
      </c>
      <c r="D336" t="s">
        <v>70</v>
      </c>
      <c r="E336" t="s">
        <v>13</v>
      </c>
      <c r="F336" t="s">
        <v>30</v>
      </c>
      <c r="G336" t="s">
        <v>36</v>
      </c>
      <c r="H336">
        <v>3</v>
      </c>
      <c r="I336" s="20">
        <v>10500</v>
      </c>
      <c r="J336" s="20">
        <v>31500</v>
      </c>
    </row>
    <row r="337" spans="1:10" hidden="1" x14ac:dyDescent="0.35">
      <c r="A337" t="s">
        <v>464</v>
      </c>
      <c r="B337" s="2">
        <v>45952</v>
      </c>
      <c r="C337" t="s">
        <v>220</v>
      </c>
      <c r="D337" t="s">
        <v>54</v>
      </c>
      <c r="E337" t="s">
        <v>19</v>
      </c>
      <c r="F337" t="s">
        <v>39</v>
      </c>
      <c r="G337" t="s">
        <v>40</v>
      </c>
      <c r="H337">
        <v>3</v>
      </c>
      <c r="I337" s="20">
        <v>900</v>
      </c>
      <c r="J337" s="20">
        <v>2700</v>
      </c>
    </row>
    <row r="338" spans="1:10" hidden="1" x14ac:dyDescent="0.35">
      <c r="A338" t="s">
        <v>465</v>
      </c>
      <c r="B338" s="2">
        <v>45953</v>
      </c>
      <c r="C338" t="s">
        <v>155</v>
      </c>
      <c r="D338" t="s">
        <v>12</v>
      </c>
      <c r="E338" t="s">
        <v>13</v>
      </c>
      <c r="F338" t="s">
        <v>20</v>
      </c>
      <c r="G338" t="s">
        <v>21</v>
      </c>
      <c r="H338">
        <v>2</v>
      </c>
      <c r="I338" s="20">
        <v>2800</v>
      </c>
      <c r="J338" s="20">
        <v>5600</v>
      </c>
    </row>
    <row r="339" spans="1:10" hidden="1" x14ac:dyDescent="0.35">
      <c r="A339" t="s">
        <v>466</v>
      </c>
      <c r="B339" s="2">
        <v>45953</v>
      </c>
      <c r="C339" t="s">
        <v>89</v>
      </c>
      <c r="D339" t="s">
        <v>28</v>
      </c>
      <c r="E339" t="s">
        <v>29</v>
      </c>
      <c r="F339" t="s">
        <v>30</v>
      </c>
      <c r="G339" t="s">
        <v>124</v>
      </c>
      <c r="H339">
        <v>1</v>
      </c>
      <c r="I339" s="20">
        <v>1260</v>
      </c>
      <c r="J339" s="20">
        <v>1260</v>
      </c>
    </row>
    <row r="340" spans="1:10" hidden="1" x14ac:dyDescent="0.35">
      <c r="A340" t="s">
        <v>467</v>
      </c>
      <c r="B340" s="2">
        <v>45953</v>
      </c>
      <c r="C340" t="s">
        <v>91</v>
      </c>
      <c r="D340" t="s">
        <v>54</v>
      </c>
      <c r="E340" t="s">
        <v>19</v>
      </c>
      <c r="F340" t="s">
        <v>14</v>
      </c>
      <c r="G340" t="s">
        <v>100</v>
      </c>
      <c r="H340">
        <v>1</v>
      </c>
      <c r="I340" s="20">
        <v>900</v>
      </c>
      <c r="J340" s="20">
        <v>900</v>
      </c>
    </row>
    <row r="341" spans="1:10" hidden="1" x14ac:dyDescent="0.35">
      <c r="A341" t="s">
        <v>468</v>
      </c>
      <c r="B341" s="2">
        <v>45955</v>
      </c>
      <c r="C341" t="s">
        <v>27</v>
      </c>
      <c r="D341" t="s">
        <v>28</v>
      </c>
      <c r="E341" t="s">
        <v>29</v>
      </c>
      <c r="F341" t="s">
        <v>39</v>
      </c>
      <c r="G341" t="s">
        <v>40</v>
      </c>
      <c r="H341">
        <v>2</v>
      </c>
      <c r="I341" s="20">
        <v>1260</v>
      </c>
      <c r="J341" s="20">
        <v>2520</v>
      </c>
    </row>
    <row r="342" spans="1:10" hidden="1" x14ac:dyDescent="0.35">
      <c r="A342" t="s">
        <v>469</v>
      </c>
      <c r="B342" s="2">
        <v>45955</v>
      </c>
      <c r="C342" t="s">
        <v>11</v>
      </c>
      <c r="D342" t="s">
        <v>148</v>
      </c>
      <c r="E342" t="s">
        <v>29</v>
      </c>
      <c r="F342" t="s">
        <v>14</v>
      </c>
      <c r="G342" t="s">
        <v>15</v>
      </c>
      <c r="H342">
        <v>6</v>
      </c>
      <c r="I342" s="20">
        <v>617.5</v>
      </c>
      <c r="J342" s="20">
        <v>3705</v>
      </c>
    </row>
    <row r="343" spans="1:10" hidden="1" x14ac:dyDescent="0.35">
      <c r="A343" t="s">
        <v>470</v>
      </c>
      <c r="B343" s="2">
        <v>45956</v>
      </c>
      <c r="C343" t="s">
        <v>267</v>
      </c>
      <c r="D343" t="s">
        <v>24</v>
      </c>
      <c r="E343" t="s">
        <v>13</v>
      </c>
      <c r="F343" t="s">
        <v>14</v>
      </c>
      <c r="G343" t="s">
        <v>100</v>
      </c>
      <c r="H343">
        <v>1</v>
      </c>
      <c r="I343" s="20">
        <v>2400</v>
      </c>
      <c r="J343" s="20">
        <v>2400</v>
      </c>
    </row>
    <row r="344" spans="1:10" hidden="1" x14ac:dyDescent="0.35">
      <c r="A344" t="s">
        <v>471</v>
      </c>
      <c r="B344" s="2">
        <v>45959</v>
      </c>
      <c r="C344" t="s">
        <v>95</v>
      </c>
      <c r="D344" t="s">
        <v>34</v>
      </c>
      <c r="E344" t="s">
        <v>35</v>
      </c>
      <c r="F344" t="s">
        <v>39</v>
      </c>
      <c r="G344" t="s">
        <v>76</v>
      </c>
      <c r="H344">
        <v>5</v>
      </c>
      <c r="I344" s="20">
        <v>665</v>
      </c>
      <c r="J344" s="20">
        <v>3325</v>
      </c>
    </row>
    <row r="345" spans="1:10" hidden="1" x14ac:dyDescent="0.35">
      <c r="A345" t="s">
        <v>472</v>
      </c>
      <c r="B345" s="2">
        <v>45960</v>
      </c>
      <c r="C345" t="s">
        <v>473</v>
      </c>
      <c r="D345" t="s">
        <v>38</v>
      </c>
      <c r="E345" t="s">
        <v>29</v>
      </c>
      <c r="F345" t="s">
        <v>20</v>
      </c>
      <c r="G345" t="s">
        <v>21</v>
      </c>
      <c r="H345">
        <v>4</v>
      </c>
      <c r="I345" s="20">
        <v>2200</v>
      </c>
      <c r="J345" s="20">
        <v>8800</v>
      </c>
    </row>
    <row r="346" spans="1:10" hidden="1" x14ac:dyDescent="0.35">
      <c r="A346" t="s">
        <v>474</v>
      </c>
      <c r="B346" s="2">
        <v>45961</v>
      </c>
      <c r="C346" t="s">
        <v>384</v>
      </c>
      <c r="D346" t="s">
        <v>43</v>
      </c>
      <c r="E346" t="s">
        <v>35</v>
      </c>
      <c r="F346" t="s">
        <v>20</v>
      </c>
      <c r="G346" t="s">
        <v>116</v>
      </c>
      <c r="H346">
        <v>1</v>
      </c>
      <c r="I346" s="20">
        <v>6500</v>
      </c>
      <c r="J346" s="20">
        <v>6500</v>
      </c>
    </row>
    <row r="347" spans="1:10" hidden="1" x14ac:dyDescent="0.35">
      <c r="A347" t="s">
        <v>475</v>
      </c>
      <c r="B347" s="2">
        <v>45961</v>
      </c>
      <c r="C347" t="s">
        <v>79</v>
      </c>
      <c r="D347" t="s">
        <v>34</v>
      </c>
      <c r="E347" t="s">
        <v>35</v>
      </c>
      <c r="F347" t="s">
        <v>20</v>
      </c>
      <c r="G347" t="s">
        <v>85</v>
      </c>
      <c r="H347">
        <v>2</v>
      </c>
      <c r="I347" s="20">
        <v>700</v>
      </c>
      <c r="J347" s="20">
        <v>1400</v>
      </c>
    </row>
    <row r="348" spans="1:10" hidden="1" x14ac:dyDescent="0.35">
      <c r="A348" t="s">
        <v>476</v>
      </c>
      <c r="B348" s="2">
        <v>45962</v>
      </c>
      <c r="C348" t="s">
        <v>75</v>
      </c>
      <c r="D348" t="s">
        <v>38</v>
      </c>
      <c r="E348" t="s">
        <v>29</v>
      </c>
      <c r="F348" t="s">
        <v>14</v>
      </c>
      <c r="G348" t="s">
        <v>68</v>
      </c>
      <c r="H348">
        <v>4</v>
      </c>
      <c r="I348" s="20">
        <v>2200</v>
      </c>
      <c r="J348" s="20">
        <v>8800</v>
      </c>
    </row>
    <row r="349" spans="1:10" hidden="1" x14ac:dyDescent="0.35">
      <c r="A349" t="s">
        <v>477</v>
      </c>
      <c r="B349" s="2">
        <v>45963</v>
      </c>
      <c r="C349" t="s">
        <v>287</v>
      </c>
      <c r="D349" t="s">
        <v>58</v>
      </c>
      <c r="E349" t="s">
        <v>59</v>
      </c>
      <c r="F349" t="s">
        <v>20</v>
      </c>
      <c r="G349" t="s">
        <v>116</v>
      </c>
      <c r="H349">
        <v>3</v>
      </c>
      <c r="I349" s="20">
        <v>7560</v>
      </c>
      <c r="J349" s="20">
        <v>22680</v>
      </c>
    </row>
    <row r="350" spans="1:10" hidden="1" x14ac:dyDescent="0.35">
      <c r="A350" t="s">
        <v>478</v>
      </c>
      <c r="B350" s="2">
        <v>45963</v>
      </c>
      <c r="C350" t="s">
        <v>48</v>
      </c>
      <c r="D350" t="s">
        <v>34</v>
      </c>
      <c r="E350" t="s">
        <v>35</v>
      </c>
      <c r="F350" t="s">
        <v>39</v>
      </c>
      <c r="G350" t="s">
        <v>50</v>
      </c>
      <c r="H350">
        <v>3</v>
      </c>
      <c r="I350" s="20">
        <v>735</v>
      </c>
      <c r="J350" s="20">
        <v>2205</v>
      </c>
    </row>
    <row r="351" spans="1:10" hidden="1" x14ac:dyDescent="0.35">
      <c r="A351" t="s">
        <v>479</v>
      </c>
      <c r="B351" s="2">
        <v>45964</v>
      </c>
      <c r="C351" t="s">
        <v>17</v>
      </c>
      <c r="D351" t="s">
        <v>28</v>
      </c>
      <c r="E351" t="s">
        <v>29</v>
      </c>
      <c r="F351" t="s">
        <v>30</v>
      </c>
      <c r="G351" t="s">
        <v>124</v>
      </c>
      <c r="H351">
        <v>6</v>
      </c>
      <c r="I351" s="20">
        <v>1200</v>
      </c>
      <c r="J351" s="20">
        <v>7200</v>
      </c>
    </row>
    <row r="352" spans="1:10" hidden="1" x14ac:dyDescent="0.35">
      <c r="A352" t="s">
        <v>480</v>
      </c>
      <c r="B352" s="2">
        <v>45966</v>
      </c>
      <c r="C352" t="s">
        <v>52</v>
      </c>
      <c r="D352" t="s">
        <v>108</v>
      </c>
      <c r="E352" t="s">
        <v>84</v>
      </c>
      <c r="F352" t="s">
        <v>30</v>
      </c>
      <c r="G352" t="s">
        <v>71</v>
      </c>
      <c r="H352">
        <v>1</v>
      </c>
      <c r="I352" s="20">
        <v>80</v>
      </c>
      <c r="J352" s="20">
        <v>80</v>
      </c>
    </row>
    <row r="353" spans="1:10" hidden="1" x14ac:dyDescent="0.35">
      <c r="A353" t="s">
        <v>481</v>
      </c>
      <c r="B353" s="2">
        <v>45966</v>
      </c>
      <c r="C353" t="s">
        <v>115</v>
      </c>
      <c r="D353" t="s">
        <v>83</v>
      </c>
      <c r="E353" t="s">
        <v>84</v>
      </c>
      <c r="F353" t="s">
        <v>20</v>
      </c>
      <c r="G353" t="s">
        <v>21</v>
      </c>
      <c r="H353">
        <v>3</v>
      </c>
      <c r="I353" s="20">
        <v>114</v>
      </c>
      <c r="J353" s="20">
        <v>342</v>
      </c>
    </row>
    <row r="354" spans="1:10" hidden="1" x14ac:dyDescent="0.35">
      <c r="A354" t="s">
        <v>482</v>
      </c>
      <c r="B354" s="2">
        <v>45966</v>
      </c>
      <c r="C354" t="s">
        <v>198</v>
      </c>
      <c r="D354" t="s">
        <v>12</v>
      </c>
      <c r="E354" t="s">
        <v>13</v>
      </c>
      <c r="F354" t="s">
        <v>14</v>
      </c>
      <c r="G354" t="s">
        <v>15</v>
      </c>
      <c r="H354">
        <v>3</v>
      </c>
      <c r="I354" s="20">
        <v>2800</v>
      </c>
      <c r="J354" s="20">
        <v>8400</v>
      </c>
    </row>
    <row r="355" spans="1:10" hidden="1" x14ac:dyDescent="0.35">
      <c r="A355" t="s">
        <v>483</v>
      </c>
      <c r="B355" s="2">
        <v>45967</v>
      </c>
      <c r="C355" t="s">
        <v>164</v>
      </c>
      <c r="D355" t="s">
        <v>70</v>
      </c>
      <c r="E355" t="s">
        <v>13</v>
      </c>
      <c r="F355" t="s">
        <v>14</v>
      </c>
      <c r="G355" t="s">
        <v>15</v>
      </c>
      <c r="H355">
        <v>6</v>
      </c>
      <c r="I355" s="20">
        <v>9975</v>
      </c>
      <c r="J355" s="20">
        <v>59850</v>
      </c>
    </row>
    <row r="356" spans="1:10" hidden="1" x14ac:dyDescent="0.35">
      <c r="A356" t="s">
        <v>484</v>
      </c>
      <c r="B356" s="2">
        <v>45968</v>
      </c>
      <c r="C356" t="s">
        <v>171</v>
      </c>
      <c r="D356" t="s">
        <v>58</v>
      </c>
      <c r="E356" t="s">
        <v>59</v>
      </c>
      <c r="F356" t="s">
        <v>20</v>
      </c>
      <c r="G356" t="s">
        <v>85</v>
      </c>
      <c r="H356">
        <v>2</v>
      </c>
      <c r="I356" s="20">
        <v>7200</v>
      </c>
      <c r="J356" s="20">
        <v>14400</v>
      </c>
    </row>
    <row r="357" spans="1:10" hidden="1" x14ac:dyDescent="0.35">
      <c r="A357" t="s">
        <v>485</v>
      </c>
      <c r="B357" s="2">
        <v>45973</v>
      </c>
      <c r="C357" t="s">
        <v>133</v>
      </c>
      <c r="D357" t="s">
        <v>108</v>
      </c>
      <c r="E357" t="s">
        <v>84</v>
      </c>
      <c r="F357" t="s">
        <v>20</v>
      </c>
      <c r="G357" t="s">
        <v>85</v>
      </c>
      <c r="H357">
        <v>8</v>
      </c>
      <c r="I357" s="20">
        <v>80</v>
      </c>
      <c r="J357" s="20">
        <v>640</v>
      </c>
    </row>
    <row r="358" spans="1:10" hidden="1" x14ac:dyDescent="0.35">
      <c r="A358" t="s">
        <v>486</v>
      </c>
      <c r="B358" s="2">
        <v>45973</v>
      </c>
      <c r="C358" t="s">
        <v>73</v>
      </c>
      <c r="D358" t="s">
        <v>148</v>
      </c>
      <c r="E358" t="s">
        <v>29</v>
      </c>
      <c r="F358" t="s">
        <v>30</v>
      </c>
      <c r="G358" t="s">
        <v>31</v>
      </c>
      <c r="H358">
        <v>6</v>
      </c>
      <c r="I358" s="20">
        <v>617.5</v>
      </c>
      <c r="J358" s="20">
        <v>3705</v>
      </c>
    </row>
    <row r="359" spans="1:10" hidden="1" x14ac:dyDescent="0.35">
      <c r="A359" t="s">
        <v>487</v>
      </c>
      <c r="B359" s="2">
        <v>45974</v>
      </c>
      <c r="C359" t="s">
        <v>97</v>
      </c>
      <c r="D359" t="s">
        <v>165</v>
      </c>
      <c r="E359" t="s">
        <v>59</v>
      </c>
      <c r="F359" t="s">
        <v>20</v>
      </c>
      <c r="G359" t="s">
        <v>44</v>
      </c>
      <c r="H359">
        <v>4</v>
      </c>
      <c r="I359" s="20">
        <v>1045</v>
      </c>
      <c r="J359" s="20">
        <v>4180</v>
      </c>
    </row>
    <row r="360" spans="1:10" hidden="1" x14ac:dyDescent="0.35">
      <c r="A360" t="s">
        <v>488</v>
      </c>
      <c r="B360" s="2">
        <v>45978</v>
      </c>
      <c r="C360" t="s">
        <v>489</v>
      </c>
      <c r="D360" t="s">
        <v>18</v>
      </c>
      <c r="E360" t="s">
        <v>19</v>
      </c>
      <c r="F360" t="s">
        <v>39</v>
      </c>
      <c r="G360" t="s">
        <v>65</v>
      </c>
      <c r="H360">
        <v>3</v>
      </c>
      <c r="I360" s="20">
        <v>1710</v>
      </c>
      <c r="J360" s="20">
        <v>5130</v>
      </c>
    </row>
    <row r="361" spans="1:10" hidden="1" x14ac:dyDescent="0.35">
      <c r="A361" t="s">
        <v>490</v>
      </c>
      <c r="B361" s="2">
        <v>45979</v>
      </c>
      <c r="C361" t="s">
        <v>64</v>
      </c>
      <c r="D361" t="s">
        <v>28</v>
      </c>
      <c r="E361" t="s">
        <v>29</v>
      </c>
      <c r="F361" t="s">
        <v>20</v>
      </c>
      <c r="G361" t="s">
        <v>85</v>
      </c>
      <c r="H361">
        <v>2</v>
      </c>
      <c r="I361" s="20">
        <v>1200</v>
      </c>
      <c r="J361" s="20">
        <v>2400</v>
      </c>
    </row>
    <row r="362" spans="1:10" hidden="1" x14ac:dyDescent="0.35">
      <c r="A362" t="s">
        <v>491</v>
      </c>
      <c r="B362" s="2">
        <v>45979</v>
      </c>
      <c r="C362" t="s">
        <v>397</v>
      </c>
      <c r="D362" t="s">
        <v>165</v>
      </c>
      <c r="E362" t="s">
        <v>59</v>
      </c>
      <c r="F362" t="s">
        <v>14</v>
      </c>
      <c r="G362" t="s">
        <v>15</v>
      </c>
      <c r="H362">
        <v>3</v>
      </c>
      <c r="I362" s="20">
        <v>1155</v>
      </c>
      <c r="J362" s="20">
        <v>3465</v>
      </c>
    </row>
    <row r="363" spans="1:10" hidden="1" x14ac:dyDescent="0.35">
      <c r="A363" t="s">
        <v>492</v>
      </c>
      <c r="B363" s="2">
        <v>45979</v>
      </c>
      <c r="C363" t="s">
        <v>158</v>
      </c>
      <c r="D363" t="s">
        <v>18</v>
      </c>
      <c r="E363" t="s">
        <v>19</v>
      </c>
      <c r="F363" t="s">
        <v>14</v>
      </c>
      <c r="G363" t="s">
        <v>25</v>
      </c>
      <c r="H363">
        <v>4</v>
      </c>
      <c r="I363" s="20">
        <v>1800</v>
      </c>
      <c r="J363" s="20">
        <v>7200</v>
      </c>
    </row>
    <row r="364" spans="1:10" hidden="1" x14ac:dyDescent="0.35">
      <c r="A364" t="s">
        <v>493</v>
      </c>
      <c r="B364" s="2">
        <v>45980</v>
      </c>
      <c r="C364" t="s">
        <v>89</v>
      </c>
      <c r="D364" t="s">
        <v>12</v>
      </c>
      <c r="E364" t="s">
        <v>13</v>
      </c>
      <c r="F364" t="s">
        <v>14</v>
      </c>
      <c r="G364" t="s">
        <v>100</v>
      </c>
      <c r="H364">
        <v>4</v>
      </c>
      <c r="I364" s="20">
        <v>2800</v>
      </c>
      <c r="J364" s="20">
        <v>11200</v>
      </c>
    </row>
    <row r="365" spans="1:10" hidden="1" x14ac:dyDescent="0.35">
      <c r="A365" t="s">
        <v>494</v>
      </c>
      <c r="B365" s="2">
        <v>45982</v>
      </c>
      <c r="C365" t="s">
        <v>138</v>
      </c>
      <c r="D365" t="s">
        <v>34</v>
      </c>
      <c r="E365" t="s">
        <v>35</v>
      </c>
      <c r="F365" t="s">
        <v>14</v>
      </c>
      <c r="G365" t="s">
        <v>25</v>
      </c>
      <c r="H365">
        <v>5</v>
      </c>
      <c r="I365" s="20">
        <v>700</v>
      </c>
      <c r="J365" s="20">
        <v>3500</v>
      </c>
    </row>
    <row r="366" spans="1:10" hidden="1" x14ac:dyDescent="0.35">
      <c r="A366" t="s">
        <v>495</v>
      </c>
      <c r="B366" s="2">
        <v>45985</v>
      </c>
      <c r="C366" t="s">
        <v>218</v>
      </c>
      <c r="D366" t="s">
        <v>49</v>
      </c>
      <c r="E366" t="s">
        <v>29</v>
      </c>
      <c r="F366" t="s">
        <v>39</v>
      </c>
      <c r="G366" t="s">
        <v>65</v>
      </c>
      <c r="H366">
        <v>1</v>
      </c>
      <c r="I366" s="20">
        <v>1500</v>
      </c>
      <c r="J366" s="20">
        <v>1500</v>
      </c>
    </row>
    <row r="367" spans="1:10" hidden="1" x14ac:dyDescent="0.35">
      <c r="A367" t="s">
        <v>496</v>
      </c>
      <c r="B367" s="2">
        <v>45985</v>
      </c>
      <c r="C367" t="s">
        <v>174</v>
      </c>
      <c r="D367" t="s">
        <v>151</v>
      </c>
      <c r="E367" t="s">
        <v>13</v>
      </c>
      <c r="F367" t="s">
        <v>14</v>
      </c>
      <c r="G367" t="s">
        <v>68</v>
      </c>
      <c r="H367">
        <v>5</v>
      </c>
      <c r="I367" s="20">
        <v>3200</v>
      </c>
      <c r="J367" s="20">
        <v>16000</v>
      </c>
    </row>
    <row r="368" spans="1:10" hidden="1" x14ac:dyDescent="0.35">
      <c r="A368" t="s">
        <v>497</v>
      </c>
      <c r="B368" s="2">
        <v>45986</v>
      </c>
      <c r="C368" t="s">
        <v>164</v>
      </c>
      <c r="D368" t="s">
        <v>38</v>
      </c>
      <c r="E368" t="s">
        <v>29</v>
      </c>
      <c r="F368" t="s">
        <v>30</v>
      </c>
      <c r="G368" t="s">
        <v>31</v>
      </c>
      <c r="H368">
        <v>2</v>
      </c>
      <c r="I368" s="20">
        <v>2310</v>
      </c>
      <c r="J368" s="20">
        <v>4620</v>
      </c>
    </row>
    <row r="369" spans="1:10" hidden="1" x14ac:dyDescent="0.35">
      <c r="A369" t="s">
        <v>498</v>
      </c>
      <c r="B369" s="2">
        <v>45987</v>
      </c>
      <c r="C369" t="s">
        <v>239</v>
      </c>
      <c r="D369" t="s">
        <v>148</v>
      </c>
      <c r="E369" t="s">
        <v>29</v>
      </c>
      <c r="F369" t="s">
        <v>14</v>
      </c>
      <c r="G369" t="s">
        <v>100</v>
      </c>
      <c r="H369">
        <v>1</v>
      </c>
      <c r="I369" s="20">
        <v>650</v>
      </c>
      <c r="J369" s="20">
        <v>650</v>
      </c>
    </row>
    <row r="370" spans="1:10" hidden="1" x14ac:dyDescent="0.35">
      <c r="A370" t="s">
        <v>499</v>
      </c>
      <c r="B370" s="2">
        <v>45988</v>
      </c>
      <c r="C370" t="s">
        <v>123</v>
      </c>
      <c r="D370" t="s">
        <v>24</v>
      </c>
      <c r="E370" t="s">
        <v>13</v>
      </c>
      <c r="F370" t="s">
        <v>39</v>
      </c>
      <c r="G370" t="s">
        <v>50</v>
      </c>
      <c r="H370">
        <v>1</v>
      </c>
      <c r="I370" s="20">
        <v>2400</v>
      </c>
      <c r="J370" s="20">
        <v>2400</v>
      </c>
    </row>
    <row r="371" spans="1:10" hidden="1" x14ac:dyDescent="0.35">
      <c r="A371" t="s">
        <v>500</v>
      </c>
      <c r="B371" s="2">
        <v>45990</v>
      </c>
      <c r="C371" t="s">
        <v>91</v>
      </c>
      <c r="D371" t="s">
        <v>108</v>
      </c>
      <c r="E371" t="s">
        <v>84</v>
      </c>
      <c r="F371" t="s">
        <v>20</v>
      </c>
      <c r="G371" t="s">
        <v>85</v>
      </c>
      <c r="H371">
        <v>1</v>
      </c>
      <c r="I371" s="20">
        <v>76</v>
      </c>
      <c r="J371" s="20">
        <v>76</v>
      </c>
    </row>
    <row r="372" spans="1:10" hidden="1" x14ac:dyDescent="0.35">
      <c r="A372" t="s">
        <v>501</v>
      </c>
      <c r="B372" s="2">
        <v>45991</v>
      </c>
      <c r="C372" t="s">
        <v>23</v>
      </c>
      <c r="D372" t="s">
        <v>148</v>
      </c>
      <c r="E372" t="s">
        <v>29</v>
      </c>
      <c r="F372" t="s">
        <v>39</v>
      </c>
      <c r="G372" t="s">
        <v>76</v>
      </c>
      <c r="H372">
        <v>8</v>
      </c>
      <c r="I372" s="20">
        <v>650</v>
      </c>
      <c r="J372" s="20">
        <v>5200</v>
      </c>
    </row>
    <row r="373" spans="1:10" hidden="1" x14ac:dyDescent="0.35">
      <c r="A373" t="s">
        <v>502</v>
      </c>
      <c r="B373" s="2">
        <v>45993</v>
      </c>
      <c r="C373" t="s">
        <v>123</v>
      </c>
      <c r="D373" t="s">
        <v>12</v>
      </c>
      <c r="E373" t="s">
        <v>13</v>
      </c>
      <c r="F373" t="s">
        <v>14</v>
      </c>
      <c r="G373" t="s">
        <v>15</v>
      </c>
      <c r="H373">
        <v>2</v>
      </c>
      <c r="I373" s="20">
        <v>2800</v>
      </c>
      <c r="J373" s="20">
        <v>5600</v>
      </c>
    </row>
    <row r="374" spans="1:10" hidden="1" x14ac:dyDescent="0.35">
      <c r="A374" t="s">
        <v>503</v>
      </c>
      <c r="B374" s="2">
        <v>45993</v>
      </c>
      <c r="C374" t="s">
        <v>253</v>
      </c>
      <c r="D374" t="s">
        <v>54</v>
      </c>
      <c r="E374" t="s">
        <v>19</v>
      </c>
      <c r="F374" t="s">
        <v>14</v>
      </c>
      <c r="G374" t="s">
        <v>100</v>
      </c>
      <c r="H374">
        <v>2</v>
      </c>
      <c r="I374" s="20">
        <v>900</v>
      </c>
      <c r="J374" s="20">
        <v>1800</v>
      </c>
    </row>
    <row r="375" spans="1:10" hidden="1" x14ac:dyDescent="0.35">
      <c r="A375" t="s">
        <v>504</v>
      </c>
      <c r="B375" s="2">
        <v>45994</v>
      </c>
      <c r="C375" t="s">
        <v>115</v>
      </c>
      <c r="D375" t="s">
        <v>24</v>
      </c>
      <c r="E375" t="s">
        <v>13</v>
      </c>
      <c r="F375" t="s">
        <v>20</v>
      </c>
      <c r="G375" t="s">
        <v>44</v>
      </c>
      <c r="H375">
        <v>1</v>
      </c>
      <c r="I375" s="20">
        <v>2520</v>
      </c>
      <c r="J375" s="20">
        <v>2520</v>
      </c>
    </row>
    <row r="376" spans="1:10" hidden="1" x14ac:dyDescent="0.35">
      <c r="A376" t="s">
        <v>505</v>
      </c>
      <c r="B376" s="2">
        <v>45995</v>
      </c>
      <c r="C376" t="s">
        <v>133</v>
      </c>
      <c r="D376" t="s">
        <v>165</v>
      </c>
      <c r="E376" t="s">
        <v>59</v>
      </c>
      <c r="F376" t="s">
        <v>30</v>
      </c>
      <c r="G376" t="s">
        <v>71</v>
      </c>
      <c r="H376">
        <v>8</v>
      </c>
      <c r="I376" s="20">
        <v>1100</v>
      </c>
      <c r="J376" s="20">
        <v>8800</v>
      </c>
    </row>
    <row r="377" spans="1:10" hidden="1" x14ac:dyDescent="0.35">
      <c r="A377" t="s">
        <v>506</v>
      </c>
      <c r="B377" s="2">
        <v>45995</v>
      </c>
      <c r="C377" t="s">
        <v>317</v>
      </c>
      <c r="D377" t="s">
        <v>54</v>
      </c>
      <c r="E377" t="s">
        <v>19</v>
      </c>
      <c r="F377" t="s">
        <v>20</v>
      </c>
      <c r="G377" t="s">
        <v>116</v>
      </c>
      <c r="H377">
        <v>5</v>
      </c>
      <c r="I377" s="20">
        <v>945</v>
      </c>
      <c r="J377" s="20">
        <v>4725</v>
      </c>
    </row>
    <row r="378" spans="1:10" hidden="1" x14ac:dyDescent="0.35">
      <c r="A378" t="s">
        <v>507</v>
      </c>
      <c r="B378" s="2">
        <v>45996</v>
      </c>
      <c r="C378" t="s">
        <v>33</v>
      </c>
      <c r="D378" t="s">
        <v>165</v>
      </c>
      <c r="E378" t="s">
        <v>59</v>
      </c>
      <c r="F378" t="s">
        <v>39</v>
      </c>
      <c r="G378" t="s">
        <v>50</v>
      </c>
      <c r="H378">
        <v>1</v>
      </c>
      <c r="I378" s="20">
        <v>1100</v>
      </c>
      <c r="J378" s="20">
        <v>1100</v>
      </c>
    </row>
    <row r="379" spans="1:10" hidden="1" x14ac:dyDescent="0.35">
      <c r="A379" t="s">
        <v>508</v>
      </c>
      <c r="B379" s="2">
        <v>45996</v>
      </c>
      <c r="C379" t="s">
        <v>140</v>
      </c>
      <c r="D379" t="s">
        <v>43</v>
      </c>
      <c r="E379" t="s">
        <v>35</v>
      </c>
      <c r="F379" t="s">
        <v>20</v>
      </c>
      <c r="G379" t="s">
        <v>21</v>
      </c>
      <c r="H379">
        <v>2</v>
      </c>
      <c r="I379" s="20">
        <v>6500</v>
      </c>
      <c r="J379" s="20">
        <v>13000</v>
      </c>
    </row>
    <row r="380" spans="1:10" hidden="1" x14ac:dyDescent="0.35">
      <c r="A380" t="s">
        <v>509</v>
      </c>
      <c r="B380" s="2">
        <v>45999</v>
      </c>
      <c r="C380" t="s">
        <v>48</v>
      </c>
      <c r="D380" t="s">
        <v>49</v>
      </c>
      <c r="E380" t="s">
        <v>29</v>
      </c>
      <c r="F380" t="s">
        <v>14</v>
      </c>
      <c r="G380" t="s">
        <v>25</v>
      </c>
      <c r="H380">
        <v>2</v>
      </c>
      <c r="I380" s="20">
        <v>1575</v>
      </c>
      <c r="J380" s="20">
        <v>3150</v>
      </c>
    </row>
    <row r="381" spans="1:10" hidden="1" x14ac:dyDescent="0.35">
      <c r="A381" t="s">
        <v>510</v>
      </c>
      <c r="B381" s="2">
        <v>46000</v>
      </c>
      <c r="C381" t="s">
        <v>123</v>
      </c>
      <c r="D381" t="s">
        <v>54</v>
      </c>
      <c r="E381" t="s">
        <v>19</v>
      </c>
      <c r="F381" t="s">
        <v>39</v>
      </c>
      <c r="G381" t="s">
        <v>40</v>
      </c>
      <c r="H381">
        <v>1</v>
      </c>
      <c r="I381" s="20">
        <v>900</v>
      </c>
      <c r="J381" s="20">
        <v>900</v>
      </c>
    </row>
    <row r="382" spans="1:10" hidden="1" x14ac:dyDescent="0.35">
      <c r="A382" t="s">
        <v>511</v>
      </c>
      <c r="B382" s="2">
        <v>46000</v>
      </c>
      <c r="C382" t="s">
        <v>215</v>
      </c>
      <c r="D382" t="s">
        <v>43</v>
      </c>
      <c r="E382" t="s">
        <v>35</v>
      </c>
      <c r="F382" t="s">
        <v>14</v>
      </c>
      <c r="G382" t="s">
        <v>68</v>
      </c>
      <c r="H382">
        <v>2</v>
      </c>
      <c r="I382" s="20">
        <v>6175</v>
      </c>
      <c r="J382" s="20">
        <v>12350</v>
      </c>
    </row>
    <row r="383" spans="1:10" hidden="1" x14ac:dyDescent="0.35">
      <c r="A383" t="s">
        <v>512</v>
      </c>
      <c r="B383" s="2">
        <v>46000</v>
      </c>
      <c r="C383" t="s">
        <v>11</v>
      </c>
      <c r="D383" t="s">
        <v>28</v>
      </c>
      <c r="E383" t="s">
        <v>29</v>
      </c>
      <c r="F383" t="s">
        <v>39</v>
      </c>
      <c r="G383" t="s">
        <v>65</v>
      </c>
      <c r="H383">
        <v>5</v>
      </c>
      <c r="I383" s="20">
        <v>1200</v>
      </c>
      <c r="J383" s="20">
        <v>6000</v>
      </c>
    </row>
    <row r="384" spans="1:10" hidden="1" x14ac:dyDescent="0.35">
      <c r="A384" t="s">
        <v>513</v>
      </c>
      <c r="B384" s="2">
        <v>46002</v>
      </c>
      <c r="C384" t="s">
        <v>67</v>
      </c>
      <c r="D384" t="s">
        <v>28</v>
      </c>
      <c r="E384" t="s">
        <v>29</v>
      </c>
      <c r="F384" t="s">
        <v>14</v>
      </c>
      <c r="G384" t="s">
        <v>100</v>
      </c>
      <c r="H384">
        <v>2</v>
      </c>
      <c r="I384" s="20">
        <v>1140</v>
      </c>
      <c r="J384" s="20">
        <v>2280</v>
      </c>
    </row>
    <row r="385" spans="1:10" hidden="1" x14ac:dyDescent="0.35">
      <c r="A385" t="s">
        <v>514</v>
      </c>
      <c r="B385" s="2">
        <v>46002</v>
      </c>
      <c r="C385" t="s">
        <v>208</v>
      </c>
      <c r="D385" t="s">
        <v>28</v>
      </c>
      <c r="E385" t="s">
        <v>29</v>
      </c>
      <c r="F385" t="s">
        <v>39</v>
      </c>
      <c r="G385" t="s">
        <v>76</v>
      </c>
      <c r="H385">
        <v>6</v>
      </c>
      <c r="I385" s="20">
        <v>1200</v>
      </c>
      <c r="J385" s="20">
        <v>7200</v>
      </c>
    </row>
    <row r="386" spans="1:10" hidden="1" x14ac:dyDescent="0.35">
      <c r="A386" t="s">
        <v>515</v>
      </c>
      <c r="B386" s="2">
        <v>46004</v>
      </c>
      <c r="C386" t="s">
        <v>183</v>
      </c>
      <c r="D386" t="s">
        <v>83</v>
      </c>
      <c r="E386" t="s">
        <v>84</v>
      </c>
      <c r="F386" t="s">
        <v>30</v>
      </c>
      <c r="G386" t="s">
        <v>124</v>
      </c>
      <c r="H386">
        <v>8</v>
      </c>
      <c r="I386" s="20">
        <v>126</v>
      </c>
      <c r="J386" s="20">
        <v>1008</v>
      </c>
    </row>
    <row r="387" spans="1:10" hidden="1" x14ac:dyDescent="0.35">
      <c r="A387" t="s">
        <v>516</v>
      </c>
      <c r="B387" s="2">
        <v>46004</v>
      </c>
      <c r="C387" t="s">
        <v>198</v>
      </c>
      <c r="D387" t="s">
        <v>83</v>
      </c>
      <c r="E387" t="s">
        <v>84</v>
      </c>
      <c r="F387" t="s">
        <v>30</v>
      </c>
      <c r="G387" t="s">
        <v>31</v>
      </c>
      <c r="H387">
        <v>6</v>
      </c>
      <c r="I387" s="20">
        <v>120</v>
      </c>
      <c r="J387" s="20">
        <v>720</v>
      </c>
    </row>
    <row r="388" spans="1:10" hidden="1" x14ac:dyDescent="0.35">
      <c r="A388" t="s">
        <v>517</v>
      </c>
      <c r="B388" s="2">
        <v>46005</v>
      </c>
      <c r="C388" t="s">
        <v>64</v>
      </c>
      <c r="D388" t="s">
        <v>49</v>
      </c>
      <c r="E388" t="s">
        <v>29</v>
      </c>
      <c r="F388" t="s">
        <v>20</v>
      </c>
      <c r="G388" t="s">
        <v>85</v>
      </c>
      <c r="H388">
        <v>1</v>
      </c>
      <c r="I388" s="20">
        <v>1500</v>
      </c>
      <c r="J388" s="20">
        <v>1500</v>
      </c>
    </row>
    <row r="389" spans="1:10" hidden="1" x14ac:dyDescent="0.35">
      <c r="A389" t="s">
        <v>518</v>
      </c>
      <c r="B389" s="2">
        <v>46007</v>
      </c>
      <c r="C389" t="s">
        <v>313</v>
      </c>
      <c r="D389" t="s">
        <v>54</v>
      </c>
      <c r="E389" t="s">
        <v>19</v>
      </c>
      <c r="F389" t="s">
        <v>30</v>
      </c>
      <c r="G389" t="s">
        <v>36</v>
      </c>
      <c r="H389">
        <v>4</v>
      </c>
      <c r="I389" s="20">
        <v>855</v>
      </c>
      <c r="J389" s="20">
        <v>3420</v>
      </c>
    </row>
    <row r="390" spans="1:10" hidden="1" x14ac:dyDescent="0.35">
      <c r="A390" t="s">
        <v>519</v>
      </c>
      <c r="B390" s="2">
        <v>46009</v>
      </c>
      <c r="C390" t="s">
        <v>140</v>
      </c>
      <c r="D390" t="s">
        <v>34</v>
      </c>
      <c r="E390" t="s">
        <v>35</v>
      </c>
      <c r="F390" t="s">
        <v>20</v>
      </c>
      <c r="G390" t="s">
        <v>116</v>
      </c>
      <c r="H390">
        <v>3</v>
      </c>
      <c r="I390" s="20">
        <v>700</v>
      </c>
      <c r="J390" s="20">
        <v>2100</v>
      </c>
    </row>
    <row r="391" spans="1:10" hidden="1" x14ac:dyDescent="0.35">
      <c r="A391" t="s">
        <v>520</v>
      </c>
      <c r="B391" s="2">
        <v>46012</v>
      </c>
      <c r="C391" t="s">
        <v>313</v>
      </c>
      <c r="D391" t="s">
        <v>43</v>
      </c>
      <c r="E391" t="s">
        <v>35</v>
      </c>
      <c r="F391" t="s">
        <v>14</v>
      </c>
      <c r="G391" t="s">
        <v>15</v>
      </c>
      <c r="H391">
        <v>1</v>
      </c>
      <c r="I391" s="20">
        <v>6175</v>
      </c>
      <c r="J391" s="20">
        <v>6175</v>
      </c>
    </row>
    <row r="392" spans="1:10" hidden="1" x14ac:dyDescent="0.35">
      <c r="A392" t="s">
        <v>521</v>
      </c>
      <c r="B392" s="2">
        <v>46012</v>
      </c>
      <c r="C392" t="s">
        <v>46</v>
      </c>
      <c r="D392" t="s">
        <v>165</v>
      </c>
      <c r="E392" t="s">
        <v>59</v>
      </c>
      <c r="F392" t="s">
        <v>30</v>
      </c>
      <c r="G392" t="s">
        <v>124</v>
      </c>
      <c r="H392">
        <v>2</v>
      </c>
      <c r="I392" s="20">
        <v>1045</v>
      </c>
      <c r="J392" s="20">
        <v>2090</v>
      </c>
    </row>
    <row r="393" spans="1:10" hidden="1" x14ac:dyDescent="0.35">
      <c r="A393" t="s">
        <v>522</v>
      </c>
      <c r="B393" s="2">
        <v>46013</v>
      </c>
      <c r="C393" t="s">
        <v>226</v>
      </c>
      <c r="D393" t="s">
        <v>165</v>
      </c>
      <c r="E393" t="s">
        <v>59</v>
      </c>
      <c r="F393" t="s">
        <v>30</v>
      </c>
      <c r="G393" t="s">
        <v>71</v>
      </c>
      <c r="H393">
        <v>8</v>
      </c>
      <c r="I393" s="20">
        <v>1100</v>
      </c>
      <c r="J393" s="20">
        <v>8800</v>
      </c>
    </row>
    <row r="394" spans="1:10" hidden="1" x14ac:dyDescent="0.35">
      <c r="A394" t="s">
        <v>523</v>
      </c>
      <c r="B394" s="2">
        <v>46014</v>
      </c>
      <c r="C394" t="s">
        <v>218</v>
      </c>
      <c r="D394" t="s">
        <v>58</v>
      </c>
      <c r="E394" t="s">
        <v>59</v>
      </c>
      <c r="F394" t="s">
        <v>20</v>
      </c>
      <c r="G394" t="s">
        <v>44</v>
      </c>
      <c r="H394">
        <v>1</v>
      </c>
      <c r="I394" s="20">
        <v>7200</v>
      </c>
      <c r="J394" s="20">
        <v>7200</v>
      </c>
    </row>
    <row r="395" spans="1:10" hidden="1" x14ac:dyDescent="0.35">
      <c r="A395" t="s">
        <v>524</v>
      </c>
      <c r="B395" s="2">
        <v>46017</v>
      </c>
      <c r="C395" t="s">
        <v>376</v>
      </c>
      <c r="D395" t="s">
        <v>58</v>
      </c>
      <c r="E395" t="s">
        <v>59</v>
      </c>
      <c r="F395" t="s">
        <v>39</v>
      </c>
      <c r="G395" t="s">
        <v>50</v>
      </c>
      <c r="H395">
        <v>2</v>
      </c>
      <c r="I395" s="20">
        <v>7200</v>
      </c>
      <c r="J395" s="20">
        <v>14400</v>
      </c>
    </row>
    <row r="396" spans="1:10" hidden="1" x14ac:dyDescent="0.35">
      <c r="A396" t="s">
        <v>525</v>
      </c>
      <c r="B396" s="2">
        <v>46017</v>
      </c>
      <c r="C396" t="s">
        <v>23</v>
      </c>
      <c r="D396" t="s">
        <v>70</v>
      </c>
      <c r="E396" t="s">
        <v>13</v>
      </c>
      <c r="F396" t="s">
        <v>39</v>
      </c>
      <c r="G396" t="s">
        <v>76</v>
      </c>
      <c r="H396">
        <v>2</v>
      </c>
      <c r="I396" s="20">
        <v>10500</v>
      </c>
      <c r="J396" s="20">
        <v>21000</v>
      </c>
    </row>
    <row r="397" spans="1:10" hidden="1" x14ac:dyDescent="0.35">
      <c r="A397" t="s">
        <v>526</v>
      </c>
      <c r="B397" s="2">
        <v>46018</v>
      </c>
      <c r="C397" t="s">
        <v>164</v>
      </c>
      <c r="D397" t="s">
        <v>24</v>
      </c>
      <c r="E397" t="s">
        <v>13</v>
      </c>
      <c r="F397" t="s">
        <v>20</v>
      </c>
      <c r="G397" t="s">
        <v>116</v>
      </c>
      <c r="H397">
        <v>1</v>
      </c>
      <c r="I397" s="20">
        <v>2520</v>
      </c>
      <c r="J397" s="20">
        <v>2520</v>
      </c>
    </row>
    <row r="398" spans="1:10" hidden="1" x14ac:dyDescent="0.35">
      <c r="A398" t="s">
        <v>527</v>
      </c>
      <c r="B398" s="2">
        <v>46019</v>
      </c>
      <c r="C398" t="s">
        <v>64</v>
      </c>
      <c r="D398" t="s">
        <v>83</v>
      </c>
      <c r="E398" t="s">
        <v>84</v>
      </c>
      <c r="F398" t="s">
        <v>14</v>
      </c>
      <c r="G398" t="s">
        <v>68</v>
      </c>
      <c r="H398">
        <v>2</v>
      </c>
      <c r="I398" s="20">
        <v>120</v>
      </c>
      <c r="J398" s="20">
        <v>240</v>
      </c>
    </row>
    <row r="399" spans="1:10" hidden="1" x14ac:dyDescent="0.35">
      <c r="A399" t="s">
        <v>528</v>
      </c>
      <c r="B399" s="2">
        <v>46020</v>
      </c>
      <c r="C399" t="s">
        <v>107</v>
      </c>
      <c r="D399" t="s">
        <v>70</v>
      </c>
      <c r="E399" t="s">
        <v>13</v>
      </c>
      <c r="F399" t="s">
        <v>14</v>
      </c>
      <c r="G399" t="s">
        <v>15</v>
      </c>
      <c r="H399">
        <v>1</v>
      </c>
      <c r="I399" s="20">
        <v>11025</v>
      </c>
      <c r="J399" s="20">
        <v>11025</v>
      </c>
    </row>
    <row r="400" spans="1:10" hidden="1" x14ac:dyDescent="0.35">
      <c r="A400" t="s">
        <v>529</v>
      </c>
      <c r="B400" s="2">
        <v>46022</v>
      </c>
      <c r="C400" t="s">
        <v>126</v>
      </c>
      <c r="D400" t="s">
        <v>151</v>
      </c>
      <c r="E400" t="s">
        <v>13</v>
      </c>
      <c r="F400" t="s">
        <v>39</v>
      </c>
      <c r="G400" t="s">
        <v>50</v>
      </c>
      <c r="H400">
        <v>5</v>
      </c>
      <c r="I400" s="20">
        <v>3360</v>
      </c>
      <c r="J400" s="20">
        <v>16800</v>
      </c>
    </row>
    <row r="401" spans="1:10" hidden="1" x14ac:dyDescent="0.35">
      <c r="A401" t="s">
        <v>530</v>
      </c>
      <c r="B401" s="2">
        <v>46022</v>
      </c>
      <c r="C401" t="s">
        <v>17</v>
      </c>
      <c r="D401" t="s">
        <v>70</v>
      </c>
      <c r="E401" t="s">
        <v>13</v>
      </c>
      <c r="F401" t="s">
        <v>30</v>
      </c>
      <c r="G401" t="s">
        <v>124</v>
      </c>
      <c r="H401">
        <v>4</v>
      </c>
      <c r="I401" s="20">
        <v>10500</v>
      </c>
      <c r="J401" s="20">
        <v>42000</v>
      </c>
    </row>
  </sheetData>
  <autoFilter ref="A1:J401" xr:uid="{00000000-0009-0000-0000-000000000000}">
    <filterColumn colId="1">
      <filters>
        <dateGroupItem year="2025" month="8" dateTimeGrouping="month"/>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EA228-9916-46A0-AAAD-A2F6F851C622}">
  <dimension ref="A3:C10"/>
  <sheetViews>
    <sheetView workbookViewId="0">
      <selection activeCell="C23" sqref="C23"/>
    </sheetView>
  </sheetViews>
  <sheetFormatPr defaultRowHeight="14.5" x14ac:dyDescent="0.35"/>
  <cols>
    <col min="1" max="1" width="16.7265625" bestFit="1" customWidth="1"/>
    <col min="2" max="2" width="23.453125" customWidth="1"/>
    <col min="3" max="3" width="14.54296875" bestFit="1" customWidth="1"/>
  </cols>
  <sheetData>
    <row r="3" spans="1:3" x14ac:dyDescent="0.35">
      <c r="A3" s="6" t="s">
        <v>4</v>
      </c>
      <c r="B3" t="s">
        <v>557</v>
      </c>
      <c r="C3" t="s">
        <v>558</v>
      </c>
    </row>
    <row r="4" spans="1:3" x14ac:dyDescent="0.35">
      <c r="A4" s="7" t="s">
        <v>29</v>
      </c>
      <c r="B4" s="11">
        <v>418045</v>
      </c>
      <c r="C4" s="12">
        <v>311</v>
      </c>
    </row>
    <row r="5" spans="1:3" x14ac:dyDescent="0.35">
      <c r="A5" s="7" t="s">
        <v>13</v>
      </c>
      <c r="B5" s="11">
        <v>1598865</v>
      </c>
      <c r="C5" s="12">
        <v>330</v>
      </c>
    </row>
    <row r="6" spans="1:3" x14ac:dyDescent="0.35">
      <c r="A6" s="7" t="s">
        <v>59</v>
      </c>
      <c r="B6" s="11">
        <v>589240</v>
      </c>
      <c r="C6" s="12">
        <v>133</v>
      </c>
    </row>
    <row r="7" spans="1:3" x14ac:dyDescent="0.35">
      <c r="A7" s="7" t="s">
        <v>19</v>
      </c>
      <c r="B7" s="11">
        <v>277155</v>
      </c>
      <c r="C7" s="12">
        <v>204</v>
      </c>
    </row>
    <row r="8" spans="1:3" x14ac:dyDescent="0.35">
      <c r="A8" s="7" t="s">
        <v>84</v>
      </c>
      <c r="B8" s="11">
        <v>15048</v>
      </c>
      <c r="C8" s="12">
        <v>149</v>
      </c>
    </row>
    <row r="9" spans="1:3" x14ac:dyDescent="0.35">
      <c r="A9" s="7" t="s">
        <v>35</v>
      </c>
      <c r="B9" s="11">
        <v>541535</v>
      </c>
      <c r="C9" s="12">
        <v>166</v>
      </c>
    </row>
    <row r="10" spans="1:3" x14ac:dyDescent="0.35">
      <c r="A10" s="7" t="s">
        <v>556</v>
      </c>
      <c r="B10" s="11">
        <v>3439888</v>
      </c>
      <c r="C10" s="21">
        <v>1293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C33A-C4A1-4FBA-A5A9-6AE65D98D2CE}">
  <dimension ref="A3:C20"/>
  <sheetViews>
    <sheetView workbookViewId="0">
      <selection activeCell="J7" sqref="J7"/>
    </sheetView>
  </sheetViews>
  <sheetFormatPr defaultRowHeight="14.5" x14ac:dyDescent="0.35"/>
  <cols>
    <col min="1" max="1" width="18.6328125" bestFit="1" customWidth="1"/>
    <col min="2" max="2" width="23.453125" bestFit="1" customWidth="1"/>
    <col min="3" max="3" width="14.54296875" bestFit="1" customWidth="1"/>
  </cols>
  <sheetData>
    <row r="3" spans="1:3" x14ac:dyDescent="0.35">
      <c r="A3" s="6" t="s">
        <v>3</v>
      </c>
      <c r="B3" t="s">
        <v>557</v>
      </c>
      <c r="C3" t="s">
        <v>558</v>
      </c>
    </row>
    <row r="4" spans="1:3" x14ac:dyDescent="0.35">
      <c r="A4" s="7" t="s">
        <v>70</v>
      </c>
      <c r="B4" s="11">
        <v>911925</v>
      </c>
      <c r="C4">
        <v>87</v>
      </c>
    </row>
    <row r="5" spans="1:3" x14ac:dyDescent="0.35">
      <c r="A5" s="7" t="s">
        <v>58</v>
      </c>
      <c r="B5" s="11">
        <v>522360</v>
      </c>
      <c r="C5">
        <v>72</v>
      </c>
    </row>
    <row r="6" spans="1:3" x14ac:dyDescent="0.35">
      <c r="A6" s="7" t="s">
        <v>43</v>
      </c>
      <c r="B6" s="11">
        <v>477100</v>
      </c>
      <c r="C6">
        <v>74</v>
      </c>
    </row>
    <row r="7" spans="1:3" x14ac:dyDescent="0.35">
      <c r="A7" s="7" t="s">
        <v>12</v>
      </c>
      <c r="B7" s="11">
        <v>274540</v>
      </c>
      <c r="C7">
        <v>99</v>
      </c>
    </row>
    <row r="8" spans="1:3" x14ac:dyDescent="0.35">
      <c r="A8" s="7" t="s">
        <v>151</v>
      </c>
      <c r="B8" s="11">
        <v>260480</v>
      </c>
      <c r="C8">
        <v>81</v>
      </c>
    </row>
    <row r="9" spans="1:3" x14ac:dyDescent="0.35">
      <c r="A9" s="7" t="s">
        <v>18</v>
      </c>
      <c r="B9" s="11">
        <v>186570</v>
      </c>
      <c r="C9">
        <v>104</v>
      </c>
    </row>
    <row r="10" spans="1:3" x14ac:dyDescent="0.35">
      <c r="A10" s="7" t="s">
        <v>24</v>
      </c>
      <c r="B10" s="11">
        <v>151920</v>
      </c>
      <c r="C10">
        <v>63</v>
      </c>
    </row>
    <row r="11" spans="1:3" x14ac:dyDescent="0.35">
      <c r="A11" s="7" t="s">
        <v>49</v>
      </c>
      <c r="B11" s="11">
        <v>146175</v>
      </c>
      <c r="C11">
        <v>97</v>
      </c>
    </row>
    <row r="12" spans="1:3" x14ac:dyDescent="0.35">
      <c r="A12" s="7" t="s">
        <v>38</v>
      </c>
      <c r="B12" s="11">
        <v>122650</v>
      </c>
      <c r="C12">
        <v>56</v>
      </c>
    </row>
    <row r="13" spans="1:3" x14ac:dyDescent="0.35">
      <c r="A13" s="7" t="s">
        <v>28</v>
      </c>
      <c r="B13" s="11">
        <v>103200</v>
      </c>
      <c r="C13">
        <v>87</v>
      </c>
    </row>
    <row r="14" spans="1:3" x14ac:dyDescent="0.35">
      <c r="A14" s="7" t="s">
        <v>54</v>
      </c>
      <c r="B14" s="11">
        <v>90585</v>
      </c>
      <c r="C14">
        <v>100</v>
      </c>
    </row>
    <row r="15" spans="1:3" x14ac:dyDescent="0.35">
      <c r="A15" s="7" t="s">
        <v>165</v>
      </c>
      <c r="B15" s="11">
        <v>66880</v>
      </c>
      <c r="C15">
        <v>61</v>
      </c>
    </row>
    <row r="16" spans="1:3" x14ac:dyDescent="0.35">
      <c r="A16" s="7" t="s">
        <v>34</v>
      </c>
      <c r="B16" s="11">
        <v>64435</v>
      </c>
      <c r="C16">
        <v>92</v>
      </c>
    </row>
    <row r="17" spans="1:3" x14ac:dyDescent="0.35">
      <c r="A17" s="7" t="s">
        <v>148</v>
      </c>
      <c r="B17" s="11">
        <v>46020</v>
      </c>
      <c r="C17">
        <v>71</v>
      </c>
    </row>
    <row r="18" spans="1:3" x14ac:dyDescent="0.35">
      <c r="A18" s="7" t="s">
        <v>83</v>
      </c>
      <c r="B18" s="11">
        <v>9384</v>
      </c>
      <c r="C18">
        <v>78</v>
      </c>
    </row>
    <row r="19" spans="1:3" x14ac:dyDescent="0.35">
      <c r="A19" s="7" t="s">
        <v>108</v>
      </c>
      <c r="B19" s="11">
        <v>5664</v>
      </c>
      <c r="C19">
        <v>71</v>
      </c>
    </row>
    <row r="20" spans="1:3" x14ac:dyDescent="0.35">
      <c r="A20" s="7" t="s">
        <v>556</v>
      </c>
      <c r="B20" s="11">
        <v>3439888</v>
      </c>
      <c r="C20">
        <v>1293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4BC2-F1EE-46FD-B95F-9DBC6199842E}">
  <dimension ref="A3:D8"/>
  <sheetViews>
    <sheetView zoomScaleNormal="100" workbookViewId="0">
      <selection activeCell="F9" sqref="F9"/>
    </sheetView>
  </sheetViews>
  <sheetFormatPr defaultRowHeight="14.5" x14ac:dyDescent="0.35"/>
  <cols>
    <col min="1" max="1" width="10.7265625" bestFit="1" customWidth="1"/>
    <col min="2" max="2" width="23.453125" bestFit="1" customWidth="1"/>
    <col min="3" max="3" width="14.54296875" bestFit="1" customWidth="1"/>
    <col min="4" max="4" width="15.81640625" bestFit="1" customWidth="1"/>
  </cols>
  <sheetData>
    <row r="3" spans="1:4" x14ac:dyDescent="0.35">
      <c r="A3" s="6" t="s">
        <v>5</v>
      </c>
      <c r="B3" t="s">
        <v>557</v>
      </c>
      <c r="C3" t="s">
        <v>558</v>
      </c>
      <c r="D3" t="s">
        <v>574</v>
      </c>
    </row>
    <row r="4" spans="1:4" x14ac:dyDescent="0.35">
      <c r="A4" s="7" t="s">
        <v>20</v>
      </c>
      <c r="B4" s="11">
        <v>942511</v>
      </c>
      <c r="C4" s="12">
        <v>305</v>
      </c>
      <c r="D4">
        <v>92</v>
      </c>
    </row>
    <row r="5" spans="1:4" x14ac:dyDescent="0.35">
      <c r="A5" s="7" t="s">
        <v>14</v>
      </c>
      <c r="B5" s="11">
        <v>917719.5</v>
      </c>
      <c r="C5" s="12">
        <v>360</v>
      </c>
      <c r="D5">
        <v>116</v>
      </c>
    </row>
    <row r="6" spans="1:4" x14ac:dyDescent="0.35">
      <c r="A6" s="7" t="s">
        <v>30</v>
      </c>
      <c r="B6" s="11">
        <v>905440</v>
      </c>
      <c r="C6" s="12">
        <v>347</v>
      </c>
      <c r="D6">
        <v>99</v>
      </c>
    </row>
    <row r="7" spans="1:4" x14ac:dyDescent="0.35">
      <c r="A7" s="7" t="s">
        <v>39</v>
      </c>
      <c r="B7" s="11">
        <v>674217.5</v>
      </c>
      <c r="C7" s="12">
        <v>281</v>
      </c>
      <c r="D7">
        <v>93</v>
      </c>
    </row>
    <row r="8" spans="1:4" x14ac:dyDescent="0.35">
      <c r="A8" s="7" t="s">
        <v>556</v>
      </c>
      <c r="B8" s="11">
        <v>3439888</v>
      </c>
      <c r="C8" s="21">
        <v>1293</v>
      </c>
      <c r="D8">
        <v>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DA41-F7FC-4E73-8A9A-74921AAECBCA}">
  <dimension ref="A3:B16"/>
  <sheetViews>
    <sheetView workbookViewId="0">
      <selection activeCell="O26" sqref="O26"/>
    </sheetView>
  </sheetViews>
  <sheetFormatPr defaultRowHeight="14.5" x14ac:dyDescent="0.35"/>
  <cols>
    <col min="1" max="1" width="10.7265625" bestFit="1" customWidth="1"/>
    <col min="2" max="2" width="23.453125" bestFit="1" customWidth="1"/>
  </cols>
  <sheetData>
    <row r="3" spans="1:2" x14ac:dyDescent="0.35">
      <c r="A3" s="6" t="s">
        <v>572</v>
      </c>
      <c r="B3" t="s">
        <v>557</v>
      </c>
    </row>
    <row r="4" spans="1:2" x14ac:dyDescent="0.35">
      <c r="A4" s="7" t="s">
        <v>559</v>
      </c>
      <c r="B4" s="11">
        <v>350545</v>
      </c>
    </row>
    <row r="5" spans="1:2" x14ac:dyDescent="0.35">
      <c r="A5" s="7" t="s">
        <v>560</v>
      </c>
      <c r="B5" s="11">
        <v>216701</v>
      </c>
    </row>
    <row r="6" spans="1:2" x14ac:dyDescent="0.35">
      <c r="A6" s="7" t="s">
        <v>561</v>
      </c>
      <c r="B6" s="11">
        <v>275695</v>
      </c>
    </row>
    <row r="7" spans="1:2" x14ac:dyDescent="0.35">
      <c r="A7" s="7" t="s">
        <v>562</v>
      </c>
      <c r="B7" s="11">
        <v>266268.5</v>
      </c>
    </row>
    <row r="8" spans="1:2" x14ac:dyDescent="0.35">
      <c r="A8" s="7" t="s">
        <v>563</v>
      </c>
      <c r="B8" s="11">
        <v>252897</v>
      </c>
    </row>
    <row r="9" spans="1:2" x14ac:dyDescent="0.35">
      <c r="A9" s="7" t="s">
        <v>564</v>
      </c>
      <c r="B9" s="11">
        <v>297457</v>
      </c>
    </row>
    <row r="10" spans="1:2" x14ac:dyDescent="0.35">
      <c r="A10" s="7" t="s">
        <v>565</v>
      </c>
      <c r="B10" s="11">
        <v>264049</v>
      </c>
    </row>
    <row r="11" spans="1:2" x14ac:dyDescent="0.35">
      <c r="A11" s="7" t="s">
        <v>566</v>
      </c>
      <c r="B11" s="11">
        <v>357648</v>
      </c>
    </row>
    <row r="12" spans="1:2" x14ac:dyDescent="0.35">
      <c r="A12" s="7" t="s">
        <v>567</v>
      </c>
      <c r="B12" s="11">
        <v>409996.5</v>
      </c>
    </row>
    <row r="13" spans="1:2" x14ac:dyDescent="0.35">
      <c r="A13" s="7" t="s">
        <v>568</v>
      </c>
      <c r="B13" s="11">
        <v>342385</v>
      </c>
    </row>
    <row r="14" spans="1:2" x14ac:dyDescent="0.35">
      <c r="A14" s="7" t="s">
        <v>569</v>
      </c>
      <c r="B14" s="11">
        <v>195823</v>
      </c>
    </row>
    <row r="15" spans="1:2" x14ac:dyDescent="0.35">
      <c r="A15" s="7" t="s">
        <v>570</v>
      </c>
      <c r="B15" s="11">
        <v>210423</v>
      </c>
    </row>
    <row r="16" spans="1:2" x14ac:dyDescent="0.35">
      <c r="A16" s="7" t="s">
        <v>556</v>
      </c>
      <c r="B16" s="11">
        <v>3439888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01F1-F6B3-4E16-BDAF-9F8150AC69DD}">
  <dimension ref="A3:B10"/>
  <sheetViews>
    <sheetView workbookViewId="0">
      <selection activeCell="G22" sqref="G22"/>
    </sheetView>
  </sheetViews>
  <sheetFormatPr defaultRowHeight="14.5" x14ac:dyDescent="0.35"/>
  <cols>
    <col min="1" max="1" width="16.7265625" bestFit="1" customWidth="1"/>
    <col min="2" max="2" width="23.453125" bestFit="1" customWidth="1"/>
  </cols>
  <sheetData>
    <row r="3" spans="1:2" x14ac:dyDescent="0.35">
      <c r="A3" s="6" t="s">
        <v>4</v>
      </c>
      <c r="B3" t="s">
        <v>557</v>
      </c>
    </row>
    <row r="4" spans="1:2" x14ac:dyDescent="0.35">
      <c r="A4" s="7" t="s">
        <v>13</v>
      </c>
      <c r="B4" s="11">
        <v>1598865</v>
      </c>
    </row>
    <row r="5" spans="1:2" x14ac:dyDescent="0.35">
      <c r="A5" s="7" t="s">
        <v>59</v>
      </c>
      <c r="B5" s="11">
        <v>589240</v>
      </c>
    </row>
    <row r="6" spans="1:2" x14ac:dyDescent="0.35">
      <c r="A6" s="7" t="s">
        <v>35</v>
      </c>
      <c r="B6" s="11">
        <v>541535</v>
      </c>
    </row>
    <row r="7" spans="1:2" x14ac:dyDescent="0.35">
      <c r="A7" s="7" t="s">
        <v>29</v>
      </c>
      <c r="B7" s="11">
        <v>418045</v>
      </c>
    </row>
    <row r="8" spans="1:2" x14ac:dyDescent="0.35">
      <c r="A8" s="7" t="s">
        <v>19</v>
      </c>
      <c r="B8" s="11">
        <v>277155</v>
      </c>
    </row>
    <row r="9" spans="1:2" x14ac:dyDescent="0.35">
      <c r="A9" s="7" t="s">
        <v>84</v>
      </c>
      <c r="B9" s="11">
        <v>15048</v>
      </c>
    </row>
    <row r="10" spans="1:2" x14ac:dyDescent="0.35">
      <c r="A10" s="7" t="s">
        <v>556</v>
      </c>
      <c r="B10" s="11">
        <v>3439888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ECFF-FEE3-4A21-A982-7FA8143B7DE4}">
  <dimension ref="A3:B8"/>
  <sheetViews>
    <sheetView workbookViewId="0">
      <selection activeCell="E20" sqref="E20"/>
    </sheetView>
  </sheetViews>
  <sheetFormatPr defaultRowHeight="14.5" x14ac:dyDescent="0.35"/>
  <cols>
    <col min="1" max="1" width="10.7265625" bestFit="1" customWidth="1"/>
    <col min="2" max="2" width="23.453125" bestFit="1" customWidth="1"/>
  </cols>
  <sheetData>
    <row r="3" spans="1:2" x14ac:dyDescent="0.35">
      <c r="A3" s="6" t="s">
        <v>5</v>
      </c>
      <c r="B3" t="s">
        <v>557</v>
      </c>
    </row>
    <row r="4" spans="1:2" x14ac:dyDescent="0.35">
      <c r="A4" s="7" t="s">
        <v>20</v>
      </c>
      <c r="B4" s="11">
        <v>942511</v>
      </c>
    </row>
    <row r="5" spans="1:2" x14ac:dyDescent="0.35">
      <c r="A5" s="7" t="s">
        <v>14</v>
      </c>
      <c r="B5" s="11">
        <v>917719.5</v>
      </c>
    </row>
    <row r="6" spans="1:2" x14ac:dyDescent="0.35">
      <c r="A6" s="7" t="s">
        <v>30</v>
      </c>
      <c r="B6" s="11">
        <v>905440</v>
      </c>
    </row>
    <row r="7" spans="1:2" x14ac:dyDescent="0.35">
      <c r="A7" s="7" t="s">
        <v>39</v>
      </c>
      <c r="B7" s="11">
        <v>674217.5</v>
      </c>
    </row>
    <row r="8" spans="1:2" x14ac:dyDescent="0.35">
      <c r="A8" s="7" t="s">
        <v>556</v>
      </c>
      <c r="B8" s="11">
        <v>3439888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DD3E0-40ED-4C81-8F8E-91B7F4BFF15A}">
  <dimension ref="A3:B8"/>
  <sheetViews>
    <sheetView workbookViewId="0">
      <selection activeCell="H23" sqref="H23"/>
    </sheetView>
  </sheetViews>
  <sheetFormatPr defaultRowHeight="14.5" x14ac:dyDescent="0.35"/>
  <cols>
    <col min="1" max="1" width="14.81640625" bestFit="1" customWidth="1"/>
    <col min="2" max="2" width="23.453125" bestFit="1" customWidth="1"/>
  </cols>
  <sheetData>
    <row r="3" spans="1:2" x14ac:dyDescent="0.35">
      <c r="A3" s="6" t="s">
        <v>3</v>
      </c>
      <c r="B3" t="s">
        <v>557</v>
      </c>
    </row>
    <row r="4" spans="1:2" x14ac:dyDescent="0.35">
      <c r="A4" s="7" t="s">
        <v>70</v>
      </c>
      <c r="B4" s="11">
        <v>911925</v>
      </c>
    </row>
    <row r="5" spans="1:2" x14ac:dyDescent="0.35">
      <c r="A5" s="7" t="s">
        <v>58</v>
      </c>
      <c r="B5" s="11">
        <v>522360</v>
      </c>
    </row>
    <row r="6" spans="1:2" x14ac:dyDescent="0.35">
      <c r="A6" s="7" t="s">
        <v>43</v>
      </c>
      <c r="B6" s="11">
        <v>477100</v>
      </c>
    </row>
    <row r="7" spans="1:2" x14ac:dyDescent="0.35">
      <c r="A7" s="7" t="s">
        <v>12</v>
      </c>
      <c r="B7" s="11">
        <v>274540</v>
      </c>
    </row>
    <row r="8" spans="1:2" x14ac:dyDescent="0.35">
      <c r="A8" s="7" t="s">
        <v>151</v>
      </c>
      <c r="B8" s="11">
        <v>260480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B77AD-1A42-4C60-A9EC-E09164B047BD}">
  <dimension ref="A1:Q40"/>
  <sheetViews>
    <sheetView showGridLines="0" tabSelected="1" zoomScale="80" zoomScaleNormal="80" workbookViewId="0">
      <selection activeCell="M41" sqref="M41"/>
    </sheetView>
  </sheetViews>
  <sheetFormatPr defaultRowHeight="14.5" x14ac:dyDescent="0.35"/>
  <cols>
    <col min="1" max="1" width="11.7265625" bestFit="1" customWidth="1"/>
    <col min="3" max="3" width="8.7265625" customWidth="1"/>
    <col min="4" max="4" width="13.36328125" bestFit="1" customWidth="1"/>
    <col min="5" max="5" width="8.7265625" customWidth="1"/>
    <col min="7" max="7" width="19" bestFit="1" customWidth="1"/>
    <col min="10" max="10" width="19" bestFit="1" customWidth="1"/>
    <col min="13" max="13" width="20.90625" bestFit="1" customWidth="1"/>
    <col min="15" max="16" width="8.7265625" customWidth="1"/>
  </cols>
  <sheetData>
    <row r="1" spans="1:17" ht="21" x14ac:dyDescent="0.5">
      <c r="A1" s="29" t="s">
        <v>571</v>
      </c>
      <c r="B1" s="29"/>
      <c r="C1" s="29"/>
      <c r="D1" s="29"/>
      <c r="E1" s="29"/>
      <c r="F1" s="29"/>
      <c r="G1" s="29"/>
      <c r="H1" s="29"/>
      <c r="I1" s="29"/>
      <c r="J1" s="29"/>
      <c r="K1" s="29"/>
      <c r="L1" s="29"/>
      <c r="M1" s="29"/>
      <c r="N1" s="24"/>
      <c r="O1" s="24"/>
      <c r="P1" s="24"/>
      <c r="Q1">
        <f>MAX(0,SUBTOTAL(103,'Monthly Analysis'!A4:A16)-1)</f>
        <v>12</v>
      </c>
    </row>
    <row r="2" spans="1:17" ht="14.5" customHeight="1" x14ac:dyDescent="0.35"/>
    <row r="3" spans="1:17" x14ac:dyDescent="0.35">
      <c r="A3" s="23" t="s">
        <v>551</v>
      </c>
      <c r="D3" s="23" t="s">
        <v>552</v>
      </c>
      <c r="G3" s="23" t="s">
        <v>553</v>
      </c>
      <c r="J3" s="23" t="s">
        <v>554</v>
      </c>
      <c r="M3" s="23" t="s">
        <v>573</v>
      </c>
    </row>
    <row r="4" spans="1:17" ht="15.5" x14ac:dyDescent="0.35">
      <c r="A4" s="8">
        <f>GETPIVOTDATA("Sum of Sales Amount (INR)",'Region Analysis'!$A$3)</f>
        <v>3439888</v>
      </c>
      <c r="D4" s="9">
        <f>GETPIVOTDATA("Sum of Quantity",'Region Analysis'!$A$3)</f>
        <v>1293</v>
      </c>
      <c r="G4" s="9">
        <f>GETPIVOTDATA("Count of Order ID",'Region Analysis'!$A$3)</f>
        <v>400</v>
      </c>
      <c r="J4" s="10">
        <f>IFERROR(A4/G4,0)</f>
        <v>8599.7199999999993</v>
      </c>
      <c r="M4" s="10">
        <f>IFERROR(A4/Q1,0)</f>
        <v>286657.33333333331</v>
      </c>
    </row>
    <row r="6" spans="1:17" ht="14.5" customHeight="1" x14ac:dyDescent="0.35"/>
    <row r="7" spans="1:17" ht="14.5" customHeight="1" x14ac:dyDescent="0.35"/>
    <row r="8" spans="1:17" ht="14.5" customHeight="1" x14ac:dyDescent="0.35"/>
    <row r="9" spans="1:17" ht="14.5" customHeight="1" x14ac:dyDescent="0.35"/>
    <row r="10" spans="1:17" ht="14.5" customHeight="1" x14ac:dyDescent="0.35"/>
    <row r="21" ht="22.5" customHeight="1" x14ac:dyDescent="0.35"/>
    <row r="22" ht="14.5" customHeight="1" x14ac:dyDescent="0.35"/>
    <row r="23" ht="14.5" customHeight="1" x14ac:dyDescent="0.35"/>
    <row r="40" ht="14.5" customHeight="1" x14ac:dyDescent="0.35"/>
  </sheetData>
  <mergeCells count="1">
    <mergeCell ref="A1:M1"/>
  </mergeCells>
  <printOptions horizontalCentered="1"/>
  <pageMargins left="0.23622047244094491" right="0.23622047244094491" top="0.74803149606299213" bottom="0.74803149606299213" header="0.31496062992125984" footer="0.31496062992125984"/>
  <pageSetup paperSize="9" scale="89" fitToWidth="0"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Sales Analysis</vt:lpstr>
      <vt:lpstr>Raw Sales Data</vt:lpstr>
      <vt:lpstr>Category Analysis</vt:lpstr>
      <vt:lpstr>Product Analysis</vt:lpstr>
      <vt:lpstr>Region Analysis</vt:lpstr>
      <vt:lpstr>Monthly Analysis</vt:lpstr>
      <vt:lpstr>Category Chart Data</vt:lpstr>
      <vt:lpstr>Region Chart Data</vt:lpstr>
      <vt:lpstr>Product Chart Data</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Ziyauddin</cp:lastModifiedBy>
  <cp:lastPrinted>2026-10-29T01:45:04Z</cp:lastPrinted>
  <dcterms:created xsi:type="dcterms:W3CDTF">2026-10-24T22:57:23Z</dcterms:created>
  <dcterms:modified xsi:type="dcterms:W3CDTF">2026-10-29T01:49:41Z</dcterms:modified>
</cp:coreProperties>
</file>